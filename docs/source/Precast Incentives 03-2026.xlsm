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Lenovo to LENOVO 22-Dec-2025\WORK\Precast Factory\Employee\Hawafiz Incentives\2026\Q1\"/>
    </mc:Choice>
  </mc:AlternateContent>
  <bookViews>
    <workbookView xWindow="0" yWindow="0" windowWidth="21600" windowHeight="9690" tabRatio="711" activeTab="4"/>
  </bookViews>
  <sheets>
    <sheet name="Database" sheetId="13" r:id="rId1"/>
    <sheet name="Management" sheetId="3" r:id="rId2"/>
    <sheet name="Production" sheetId="2" r:id="rId3"/>
    <sheet name="Technical" sheetId="4" r:id="rId4"/>
    <sheet name="Hollowcore" sheetId="5" r:id="rId5"/>
    <sheet name="QC" sheetId="6" r:id="rId6"/>
    <sheet name="Maintenance" sheetId="7" r:id="rId7"/>
    <sheet name="Installation" sheetId="8" r:id="rId8"/>
    <sheet name="SCM" sheetId="18" r:id="rId9"/>
    <sheet name="Inc. Tracking" sheetId="12" r:id="rId10"/>
    <sheet name="Engs" sheetId="16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0" hidden="1">Database!$B$1:$G$1</definedName>
    <definedName name="_xlnm._FilterDatabase" localSheetId="4" hidden="1">Hollowcore!$A$7:$W$48</definedName>
    <definedName name="_xlnm._FilterDatabase" localSheetId="7" hidden="1">Installation!$A$7:$U$41</definedName>
    <definedName name="_xlnm._FilterDatabase" localSheetId="6" hidden="1">Maintenance!$A$7:$U$18</definedName>
    <definedName name="_xlnm._FilterDatabase" localSheetId="2" hidden="1">Production!$A$7:$U$232</definedName>
    <definedName name="_xlnm._FilterDatabase" localSheetId="8" hidden="1">SCM!$A$7:$X$81</definedName>
    <definedName name="_xlnm.Print_Area" localSheetId="10">Engs!$A$1:$BH$31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26" i="16" l="1"/>
  <c r="T26" i="16"/>
  <c r="R26" i="16"/>
  <c r="Q26" i="16"/>
  <c r="S26" i="16" s="1"/>
  <c r="BH26" i="16" l="1"/>
  <c r="E18" i="12"/>
  <c r="U77" i="18"/>
  <c r="U78" i="18" l="1"/>
  <c r="U79" i="18"/>
  <c r="S77" i="18"/>
  <c r="S78" i="18"/>
  <c r="S79" i="18"/>
  <c r="R77" i="18"/>
  <c r="T77" i="18" s="1"/>
  <c r="R78" i="18"/>
  <c r="T78" i="18" s="1"/>
  <c r="R79" i="18"/>
  <c r="T79" i="18" s="1"/>
  <c r="AE6" i="4" l="1"/>
  <c r="AF6" i="4"/>
  <c r="AF6" i="18"/>
  <c r="AF6" i="8"/>
  <c r="AF6" i="7"/>
  <c r="AG6" i="7"/>
  <c r="AF12" i="7" s="1"/>
  <c r="AE6" i="6"/>
  <c r="AF6" i="6"/>
  <c r="AF18" i="7" l="1"/>
  <c r="AF13" i="7"/>
  <c r="AF16" i="7"/>
  <c r="AF10" i="7"/>
  <c r="AF8" i="7"/>
  <c r="AF9" i="7"/>
  <c r="AF11" i="7"/>
  <c r="AF15" i="7"/>
  <c r="AF14" i="7"/>
  <c r="AF17" i="7"/>
  <c r="T18" i="6"/>
  <c r="R14" i="3" l="1"/>
  <c r="U231" i="2" l="1"/>
  <c r="AF231" i="2"/>
  <c r="R231" i="2"/>
  <c r="T231" i="2" s="1"/>
  <c r="S231" i="2"/>
  <c r="AF230" i="2"/>
  <c r="U230" i="2"/>
  <c r="S230" i="2"/>
  <c r="R230" i="2"/>
  <c r="T230" i="2" s="1"/>
  <c r="AG230" i="2" l="1"/>
  <c r="AG231" i="2"/>
  <c r="AE17" i="3"/>
  <c r="Y17" i="3"/>
  <c r="V17" i="3"/>
  <c r="T17" i="3"/>
  <c r="R17" i="3"/>
  <c r="Q17" i="3"/>
  <c r="S17" i="3" s="1"/>
  <c r="T14" i="3"/>
  <c r="Q8" i="4"/>
  <c r="Q9" i="4"/>
  <c r="Q10" i="4"/>
  <c r="Q11" i="4"/>
  <c r="Q12" i="4"/>
  <c r="R8" i="4"/>
  <c r="R9" i="4"/>
  <c r="R10" i="4"/>
  <c r="R11" i="4"/>
  <c r="R12" i="4"/>
  <c r="Z17" i="3" l="1"/>
  <c r="AF17" i="3"/>
  <c r="W17" i="3"/>
  <c r="Q8" i="3"/>
  <c r="P2" i="3"/>
  <c r="Q14" i="3"/>
  <c r="S14" i="3" s="1"/>
  <c r="S48" i="8"/>
  <c r="S47" i="8"/>
  <c r="S46" i="8"/>
  <c r="S45" i="8"/>
  <c r="S44" i="8"/>
  <c r="S43" i="8"/>
  <c r="S42" i="8"/>
  <c r="S41" i="8"/>
  <c r="S40" i="8"/>
  <c r="S39" i="8"/>
  <c r="S38" i="8"/>
  <c r="S37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AE48" i="5"/>
  <c r="AE47" i="5"/>
  <c r="AE46" i="5"/>
  <c r="AE45" i="5"/>
  <c r="AE44" i="5"/>
  <c r="AE43" i="5"/>
  <c r="AE42" i="5"/>
  <c r="AE41" i="5"/>
  <c r="AE40" i="5"/>
  <c r="AE39" i="5"/>
  <c r="AE38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T9" i="5"/>
  <c r="T10" i="5"/>
  <c r="T11" i="5"/>
  <c r="T12" i="5"/>
  <c r="T13" i="5"/>
  <c r="T14" i="5"/>
  <c r="AF14" i="5" s="1"/>
  <c r="T15" i="5"/>
  <c r="T16" i="5"/>
  <c r="T17" i="5"/>
  <c r="T18" i="5"/>
  <c r="T19" i="5"/>
  <c r="T20" i="5"/>
  <c r="AF20" i="5" s="1"/>
  <c r="T21" i="5"/>
  <c r="T22" i="5"/>
  <c r="T23" i="5"/>
  <c r="T24" i="5"/>
  <c r="T25" i="5"/>
  <c r="T26" i="5"/>
  <c r="T27" i="5"/>
  <c r="T28" i="5"/>
  <c r="T29" i="5"/>
  <c r="T30" i="5"/>
  <c r="AF30" i="5" s="1"/>
  <c r="T31" i="5"/>
  <c r="T32" i="5"/>
  <c r="T33" i="5"/>
  <c r="T34" i="5"/>
  <c r="T35" i="5"/>
  <c r="T36" i="5"/>
  <c r="T37" i="5"/>
  <c r="AF37" i="5" s="1"/>
  <c r="T38" i="5"/>
  <c r="T39" i="5"/>
  <c r="T40" i="5"/>
  <c r="T41" i="5"/>
  <c r="T42" i="5"/>
  <c r="T43" i="5"/>
  <c r="T44" i="5"/>
  <c r="T45" i="5"/>
  <c r="T46" i="5"/>
  <c r="T47" i="5"/>
  <c r="T48" i="5"/>
  <c r="R18" i="3"/>
  <c r="R8" i="3"/>
  <c r="A16" i="3"/>
  <c r="R16" i="3"/>
  <c r="S229" i="2"/>
  <c r="AF232" i="2"/>
  <c r="U232" i="2"/>
  <c r="S232" i="2"/>
  <c r="R232" i="2"/>
  <c r="T232" i="2" s="1"/>
  <c r="AF229" i="2"/>
  <c r="U229" i="2"/>
  <c r="R229" i="2"/>
  <c r="T229" i="2" s="1"/>
  <c r="AF228" i="2"/>
  <c r="U228" i="2"/>
  <c r="S228" i="2"/>
  <c r="R228" i="2"/>
  <c r="T228" i="2" s="1"/>
  <c r="AF227" i="2"/>
  <c r="U227" i="2"/>
  <c r="S227" i="2"/>
  <c r="R227" i="2"/>
  <c r="T227" i="2" s="1"/>
  <c r="AF226" i="2"/>
  <c r="U226" i="2"/>
  <c r="S226" i="2"/>
  <c r="R226" i="2"/>
  <c r="T226" i="2" s="1"/>
  <c r="AF225" i="2"/>
  <c r="U225" i="2"/>
  <c r="S225" i="2"/>
  <c r="R225" i="2"/>
  <c r="T225" i="2" s="1"/>
  <c r="AF224" i="2"/>
  <c r="U224" i="2"/>
  <c r="S224" i="2"/>
  <c r="R224" i="2"/>
  <c r="T224" i="2" s="1"/>
  <c r="AF223" i="2"/>
  <c r="U223" i="2"/>
  <c r="S223" i="2"/>
  <c r="R223" i="2"/>
  <c r="T223" i="2" s="1"/>
  <c r="AF222" i="2"/>
  <c r="U222" i="2"/>
  <c r="S222" i="2"/>
  <c r="R222" i="2"/>
  <c r="T222" i="2" s="1"/>
  <c r="AF221" i="2"/>
  <c r="U221" i="2"/>
  <c r="S221" i="2"/>
  <c r="R221" i="2"/>
  <c r="T221" i="2" s="1"/>
  <c r="AF220" i="2"/>
  <c r="U220" i="2"/>
  <c r="S220" i="2"/>
  <c r="R220" i="2"/>
  <c r="T220" i="2" s="1"/>
  <c r="AF219" i="2"/>
  <c r="U219" i="2"/>
  <c r="S219" i="2"/>
  <c r="R219" i="2"/>
  <c r="T219" i="2" s="1"/>
  <c r="AF218" i="2"/>
  <c r="U218" i="2"/>
  <c r="S218" i="2"/>
  <c r="R218" i="2"/>
  <c r="T218" i="2" s="1"/>
  <c r="AF217" i="2"/>
  <c r="U217" i="2"/>
  <c r="S217" i="2"/>
  <c r="R217" i="2"/>
  <c r="T217" i="2" s="1"/>
  <c r="AF216" i="2"/>
  <c r="U216" i="2"/>
  <c r="S216" i="2"/>
  <c r="R216" i="2"/>
  <c r="T216" i="2" s="1"/>
  <c r="AF215" i="2"/>
  <c r="U215" i="2"/>
  <c r="S215" i="2"/>
  <c r="R215" i="2"/>
  <c r="T215" i="2" s="1"/>
  <c r="AF214" i="2"/>
  <c r="U214" i="2"/>
  <c r="S214" i="2"/>
  <c r="R214" i="2"/>
  <c r="T214" i="2" s="1"/>
  <c r="AF213" i="2"/>
  <c r="U213" i="2"/>
  <c r="S213" i="2"/>
  <c r="R213" i="2"/>
  <c r="T213" i="2" s="1"/>
  <c r="AF212" i="2"/>
  <c r="U212" i="2"/>
  <c r="S212" i="2"/>
  <c r="R212" i="2"/>
  <c r="T212" i="2" s="1"/>
  <c r="AF211" i="2"/>
  <c r="U211" i="2"/>
  <c r="S211" i="2"/>
  <c r="R211" i="2"/>
  <c r="T211" i="2" s="1"/>
  <c r="AF210" i="2"/>
  <c r="U210" i="2"/>
  <c r="S210" i="2"/>
  <c r="R210" i="2"/>
  <c r="T210" i="2" s="1"/>
  <c r="AF209" i="2"/>
  <c r="U209" i="2"/>
  <c r="S209" i="2"/>
  <c r="R209" i="2"/>
  <c r="T209" i="2" s="1"/>
  <c r="AF208" i="2"/>
  <c r="U208" i="2"/>
  <c r="S208" i="2"/>
  <c r="R208" i="2"/>
  <c r="T208" i="2" s="1"/>
  <c r="AF207" i="2"/>
  <c r="U207" i="2"/>
  <c r="S207" i="2"/>
  <c r="R207" i="2"/>
  <c r="T207" i="2" s="1"/>
  <c r="AF206" i="2"/>
  <c r="U206" i="2"/>
  <c r="S206" i="2"/>
  <c r="R206" i="2"/>
  <c r="T206" i="2" s="1"/>
  <c r="AF205" i="2"/>
  <c r="U205" i="2"/>
  <c r="S205" i="2"/>
  <c r="R205" i="2"/>
  <c r="T205" i="2" s="1"/>
  <c r="AF204" i="2"/>
  <c r="U204" i="2"/>
  <c r="S204" i="2"/>
  <c r="R204" i="2"/>
  <c r="T204" i="2" s="1"/>
  <c r="AF203" i="2"/>
  <c r="U203" i="2"/>
  <c r="S203" i="2"/>
  <c r="R203" i="2"/>
  <c r="T203" i="2" s="1"/>
  <c r="AF202" i="2"/>
  <c r="U202" i="2"/>
  <c r="S202" i="2"/>
  <c r="R202" i="2"/>
  <c r="T202" i="2" s="1"/>
  <c r="AF201" i="2"/>
  <c r="U201" i="2"/>
  <c r="S201" i="2"/>
  <c r="R201" i="2"/>
  <c r="T201" i="2" s="1"/>
  <c r="AF200" i="2"/>
  <c r="U200" i="2"/>
  <c r="S200" i="2"/>
  <c r="R200" i="2"/>
  <c r="T200" i="2" s="1"/>
  <c r="AF199" i="2"/>
  <c r="U199" i="2"/>
  <c r="S199" i="2"/>
  <c r="R199" i="2"/>
  <c r="T199" i="2" s="1"/>
  <c r="AF198" i="2"/>
  <c r="U198" i="2"/>
  <c r="S198" i="2"/>
  <c r="R198" i="2"/>
  <c r="T198" i="2" s="1"/>
  <c r="AF197" i="2"/>
  <c r="U197" i="2"/>
  <c r="S197" i="2"/>
  <c r="R197" i="2"/>
  <c r="T197" i="2" s="1"/>
  <c r="AF196" i="2"/>
  <c r="U196" i="2"/>
  <c r="S196" i="2"/>
  <c r="R196" i="2"/>
  <c r="T196" i="2" s="1"/>
  <c r="AF195" i="2"/>
  <c r="U195" i="2"/>
  <c r="S195" i="2"/>
  <c r="R195" i="2"/>
  <c r="T195" i="2" s="1"/>
  <c r="AF194" i="2"/>
  <c r="U194" i="2"/>
  <c r="S194" i="2"/>
  <c r="R194" i="2"/>
  <c r="T194" i="2" s="1"/>
  <c r="AF193" i="2"/>
  <c r="U193" i="2"/>
  <c r="S193" i="2"/>
  <c r="R193" i="2"/>
  <c r="T193" i="2" s="1"/>
  <c r="AF192" i="2"/>
  <c r="U192" i="2"/>
  <c r="S192" i="2"/>
  <c r="R192" i="2"/>
  <c r="T192" i="2" s="1"/>
  <c r="AF191" i="2"/>
  <c r="U191" i="2"/>
  <c r="S191" i="2"/>
  <c r="R191" i="2"/>
  <c r="T191" i="2" s="1"/>
  <c r="AF190" i="2"/>
  <c r="U190" i="2"/>
  <c r="S190" i="2"/>
  <c r="R190" i="2"/>
  <c r="T190" i="2" s="1"/>
  <c r="AF189" i="2"/>
  <c r="U189" i="2"/>
  <c r="S189" i="2"/>
  <c r="R189" i="2"/>
  <c r="T189" i="2" s="1"/>
  <c r="AF188" i="2"/>
  <c r="U188" i="2"/>
  <c r="S188" i="2"/>
  <c r="R188" i="2"/>
  <c r="T188" i="2" s="1"/>
  <c r="AF187" i="2"/>
  <c r="U187" i="2"/>
  <c r="S187" i="2"/>
  <c r="R187" i="2"/>
  <c r="T187" i="2" s="1"/>
  <c r="AF186" i="2"/>
  <c r="U186" i="2"/>
  <c r="S186" i="2"/>
  <c r="R186" i="2"/>
  <c r="T186" i="2" s="1"/>
  <c r="AF185" i="2"/>
  <c r="U185" i="2"/>
  <c r="S185" i="2"/>
  <c r="R185" i="2"/>
  <c r="T185" i="2" s="1"/>
  <c r="AF184" i="2"/>
  <c r="U184" i="2"/>
  <c r="S184" i="2"/>
  <c r="R184" i="2"/>
  <c r="T184" i="2" s="1"/>
  <c r="AF183" i="2"/>
  <c r="U183" i="2"/>
  <c r="S183" i="2"/>
  <c r="R183" i="2"/>
  <c r="T183" i="2" s="1"/>
  <c r="AF182" i="2"/>
  <c r="U182" i="2"/>
  <c r="S182" i="2"/>
  <c r="R182" i="2"/>
  <c r="T182" i="2" s="1"/>
  <c r="AF181" i="2"/>
  <c r="U181" i="2"/>
  <c r="S181" i="2"/>
  <c r="R181" i="2"/>
  <c r="T181" i="2" s="1"/>
  <c r="AF180" i="2"/>
  <c r="U180" i="2"/>
  <c r="S180" i="2"/>
  <c r="R180" i="2"/>
  <c r="T180" i="2" s="1"/>
  <c r="AF179" i="2"/>
  <c r="U179" i="2"/>
  <c r="S179" i="2"/>
  <c r="R179" i="2"/>
  <c r="T179" i="2" s="1"/>
  <c r="AF178" i="2"/>
  <c r="U178" i="2"/>
  <c r="S178" i="2"/>
  <c r="R178" i="2"/>
  <c r="T178" i="2" s="1"/>
  <c r="AF177" i="2"/>
  <c r="U177" i="2"/>
  <c r="S177" i="2"/>
  <c r="R177" i="2"/>
  <c r="T177" i="2" s="1"/>
  <c r="AF176" i="2"/>
  <c r="U176" i="2"/>
  <c r="S176" i="2"/>
  <c r="R176" i="2"/>
  <c r="T176" i="2" s="1"/>
  <c r="AF175" i="2"/>
  <c r="U175" i="2"/>
  <c r="S175" i="2"/>
  <c r="R175" i="2"/>
  <c r="T175" i="2" s="1"/>
  <c r="AF174" i="2"/>
  <c r="U174" i="2"/>
  <c r="S174" i="2"/>
  <c r="R174" i="2"/>
  <c r="T174" i="2" s="1"/>
  <c r="AF173" i="2"/>
  <c r="U173" i="2"/>
  <c r="S173" i="2"/>
  <c r="R173" i="2"/>
  <c r="T173" i="2" s="1"/>
  <c r="AF172" i="2"/>
  <c r="U172" i="2"/>
  <c r="S172" i="2"/>
  <c r="R172" i="2"/>
  <c r="T172" i="2" s="1"/>
  <c r="AF171" i="2"/>
  <c r="U171" i="2"/>
  <c r="S171" i="2"/>
  <c r="R171" i="2"/>
  <c r="T171" i="2" s="1"/>
  <c r="AF170" i="2"/>
  <c r="U170" i="2"/>
  <c r="S170" i="2"/>
  <c r="R170" i="2"/>
  <c r="T170" i="2" s="1"/>
  <c r="AF169" i="2"/>
  <c r="U169" i="2"/>
  <c r="S169" i="2"/>
  <c r="R169" i="2"/>
  <c r="T169" i="2" s="1"/>
  <c r="AF168" i="2"/>
  <c r="U168" i="2"/>
  <c r="S168" i="2"/>
  <c r="R168" i="2"/>
  <c r="T168" i="2" s="1"/>
  <c r="AF167" i="2"/>
  <c r="U167" i="2"/>
  <c r="S167" i="2"/>
  <c r="R167" i="2"/>
  <c r="T167" i="2" s="1"/>
  <c r="AF166" i="2"/>
  <c r="U166" i="2"/>
  <c r="S166" i="2"/>
  <c r="R166" i="2"/>
  <c r="T166" i="2" s="1"/>
  <c r="AF165" i="2"/>
  <c r="U165" i="2"/>
  <c r="S165" i="2"/>
  <c r="R165" i="2"/>
  <c r="T165" i="2" s="1"/>
  <c r="AF164" i="2"/>
  <c r="U164" i="2"/>
  <c r="S164" i="2"/>
  <c r="R164" i="2"/>
  <c r="T164" i="2" s="1"/>
  <c r="AF163" i="2"/>
  <c r="U163" i="2"/>
  <c r="S163" i="2"/>
  <c r="R163" i="2"/>
  <c r="T163" i="2" s="1"/>
  <c r="AF162" i="2"/>
  <c r="U162" i="2"/>
  <c r="S162" i="2"/>
  <c r="R162" i="2"/>
  <c r="T162" i="2" s="1"/>
  <c r="AF161" i="2"/>
  <c r="U161" i="2"/>
  <c r="S161" i="2"/>
  <c r="R161" i="2"/>
  <c r="T161" i="2" s="1"/>
  <c r="AF160" i="2"/>
  <c r="U160" i="2"/>
  <c r="S160" i="2"/>
  <c r="R160" i="2"/>
  <c r="T160" i="2" s="1"/>
  <c r="AF159" i="2"/>
  <c r="U159" i="2"/>
  <c r="S159" i="2"/>
  <c r="R159" i="2"/>
  <c r="T159" i="2" s="1"/>
  <c r="AF158" i="2"/>
  <c r="U158" i="2"/>
  <c r="S158" i="2"/>
  <c r="R158" i="2"/>
  <c r="T158" i="2" s="1"/>
  <c r="AF157" i="2"/>
  <c r="U157" i="2"/>
  <c r="S157" i="2"/>
  <c r="R157" i="2"/>
  <c r="T157" i="2" s="1"/>
  <c r="AF156" i="2"/>
  <c r="U156" i="2"/>
  <c r="S156" i="2"/>
  <c r="R156" i="2"/>
  <c r="T156" i="2" s="1"/>
  <c r="AF155" i="2"/>
  <c r="U155" i="2"/>
  <c r="S155" i="2"/>
  <c r="R155" i="2"/>
  <c r="T155" i="2" s="1"/>
  <c r="AF154" i="2"/>
  <c r="U154" i="2"/>
  <c r="S154" i="2"/>
  <c r="R154" i="2"/>
  <c r="T154" i="2" s="1"/>
  <c r="AF153" i="2"/>
  <c r="U153" i="2"/>
  <c r="S153" i="2"/>
  <c r="R153" i="2"/>
  <c r="T153" i="2" s="1"/>
  <c r="AF152" i="2"/>
  <c r="U152" i="2"/>
  <c r="S152" i="2"/>
  <c r="R152" i="2"/>
  <c r="T152" i="2" s="1"/>
  <c r="AF151" i="2"/>
  <c r="U151" i="2"/>
  <c r="S151" i="2"/>
  <c r="R151" i="2"/>
  <c r="T151" i="2" s="1"/>
  <c r="AF150" i="2"/>
  <c r="U150" i="2"/>
  <c r="S150" i="2"/>
  <c r="R150" i="2"/>
  <c r="T150" i="2" s="1"/>
  <c r="AF149" i="2"/>
  <c r="U149" i="2"/>
  <c r="S149" i="2"/>
  <c r="R149" i="2"/>
  <c r="T149" i="2" s="1"/>
  <c r="AF148" i="2"/>
  <c r="U148" i="2"/>
  <c r="S148" i="2"/>
  <c r="R148" i="2"/>
  <c r="T148" i="2" s="1"/>
  <c r="AF147" i="2"/>
  <c r="U147" i="2"/>
  <c r="S147" i="2"/>
  <c r="R147" i="2"/>
  <c r="T147" i="2" s="1"/>
  <c r="AF146" i="2"/>
  <c r="U146" i="2"/>
  <c r="S146" i="2"/>
  <c r="R146" i="2"/>
  <c r="T146" i="2" s="1"/>
  <c r="AF145" i="2"/>
  <c r="U145" i="2"/>
  <c r="S145" i="2"/>
  <c r="R145" i="2"/>
  <c r="T145" i="2" s="1"/>
  <c r="AF144" i="2"/>
  <c r="U144" i="2"/>
  <c r="S144" i="2"/>
  <c r="R144" i="2"/>
  <c r="T144" i="2" s="1"/>
  <c r="AF143" i="2"/>
  <c r="U143" i="2"/>
  <c r="S143" i="2"/>
  <c r="R143" i="2"/>
  <c r="T143" i="2" s="1"/>
  <c r="AF142" i="2"/>
  <c r="U142" i="2"/>
  <c r="S142" i="2"/>
  <c r="R142" i="2"/>
  <c r="T142" i="2" s="1"/>
  <c r="AF141" i="2"/>
  <c r="U141" i="2"/>
  <c r="S141" i="2"/>
  <c r="R141" i="2"/>
  <c r="T141" i="2" s="1"/>
  <c r="AF140" i="2"/>
  <c r="U140" i="2"/>
  <c r="S140" i="2"/>
  <c r="R140" i="2"/>
  <c r="T140" i="2" s="1"/>
  <c r="AF139" i="2"/>
  <c r="U139" i="2"/>
  <c r="S139" i="2"/>
  <c r="R139" i="2"/>
  <c r="T139" i="2" s="1"/>
  <c r="AF138" i="2"/>
  <c r="U138" i="2"/>
  <c r="S138" i="2"/>
  <c r="R138" i="2"/>
  <c r="T138" i="2" s="1"/>
  <c r="AF137" i="2"/>
  <c r="U137" i="2"/>
  <c r="S137" i="2"/>
  <c r="R137" i="2"/>
  <c r="T137" i="2" s="1"/>
  <c r="AF136" i="2"/>
  <c r="U136" i="2"/>
  <c r="S136" i="2"/>
  <c r="R136" i="2"/>
  <c r="T136" i="2" s="1"/>
  <c r="AF135" i="2"/>
  <c r="U135" i="2"/>
  <c r="S135" i="2"/>
  <c r="R135" i="2"/>
  <c r="T135" i="2" s="1"/>
  <c r="AF134" i="2"/>
  <c r="U134" i="2"/>
  <c r="S134" i="2"/>
  <c r="R134" i="2"/>
  <c r="T134" i="2" s="1"/>
  <c r="AF133" i="2"/>
  <c r="U133" i="2"/>
  <c r="S133" i="2"/>
  <c r="R133" i="2"/>
  <c r="T133" i="2" s="1"/>
  <c r="AF132" i="2"/>
  <c r="U132" i="2"/>
  <c r="S132" i="2"/>
  <c r="R132" i="2"/>
  <c r="T132" i="2" s="1"/>
  <c r="AF131" i="2"/>
  <c r="U131" i="2"/>
  <c r="S131" i="2"/>
  <c r="R131" i="2"/>
  <c r="T131" i="2" s="1"/>
  <c r="AF130" i="2"/>
  <c r="U130" i="2"/>
  <c r="S130" i="2"/>
  <c r="R130" i="2"/>
  <c r="T130" i="2" s="1"/>
  <c r="AF129" i="2"/>
  <c r="U129" i="2"/>
  <c r="S129" i="2"/>
  <c r="R129" i="2"/>
  <c r="T129" i="2" s="1"/>
  <c r="AF128" i="2"/>
  <c r="U128" i="2"/>
  <c r="S128" i="2"/>
  <c r="R128" i="2"/>
  <c r="T128" i="2" s="1"/>
  <c r="AF127" i="2"/>
  <c r="U127" i="2"/>
  <c r="S127" i="2"/>
  <c r="R127" i="2"/>
  <c r="T127" i="2" s="1"/>
  <c r="AF126" i="2"/>
  <c r="U126" i="2"/>
  <c r="S126" i="2"/>
  <c r="R126" i="2"/>
  <c r="T126" i="2" s="1"/>
  <c r="AF125" i="2"/>
  <c r="U125" i="2"/>
  <c r="S125" i="2"/>
  <c r="R125" i="2"/>
  <c r="T125" i="2" s="1"/>
  <c r="AF124" i="2"/>
  <c r="U124" i="2"/>
  <c r="S124" i="2"/>
  <c r="R124" i="2"/>
  <c r="T124" i="2" s="1"/>
  <c r="AF123" i="2"/>
  <c r="U123" i="2"/>
  <c r="S123" i="2"/>
  <c r="R123" i="2"/>
  <c r="T123" i="2" s="1"/>
  <c r="AF122" i="2"/>
  <c r="U122" i="2"/>
  <c r="S122" i="2"/>
  <c r="R122" i="2"/>
  <c r="T122" i="2" s="1"/>
  <c r="AF121" i="2"/>
  <c r="U121" i="2"/>
  <c r="S121" i="2"/>
  <c r="R121" i="2"/>
  <c r="T121" i="2" s="1"/>
  <c r="AF120" i="2"/>
  <c r="U120" i="2"/>
  <c r="S120" i="2"/>
  <c r="R120" i="2"/>
  <c r="T120" i="2" s="1"/>
  <c r="AF119" i="2"/>
  <c r="U119" i="2"/>
  <c r="S119" i="2"/>
  <c r="R119" i="2"/>
  <c r="T119" i="2" s="1"/>
  <c r="AF118" i="2"/>
  <c r="U118" i="2"/>
  <c r="S118" i="2"/>
  <c r="R118" i="2"/>
  <c r="T118" i="2" s="1"/>
  <c r="AF117" i="2"/>
  <c r="U117" i="2"/>
  <c r="S117" i="2"/>
  <c r="R117" i="2"/>
  <c r="T117" i="2" s="1"/>
  <c r="AF116" i="2"/>
  <c r="U116" i="2"/>
  <c r="S116" i="2"/>
  <c r="R116" i="2"/>
  <c r="T116" i="2" s="1"/>
  <c r="AF115" i="2"/>
  <c r="U115" i="2"/>
  <c r="S115" i="2"/>
  <c r="R115" i="2"/>
  <c r="T115" i="2" s="1"/>
  <c r="AF114" i="2"/>
  <c r="U114" i="2"/>
  <c r="S114" i="2"/>
  <c r="R114" i="2"/>
  <c r="T114" i="2" s="1"/>
  <c r="AF113" i="2"/>
  <c r="U113" i="2"/>
  <c r="S113" i="2"/>
  <c r="R113" i="2"/>
  <c r="T113" i="2" s="1"/>
  <c r="AF112" i="2"/>
  <c r="U112" i="2"/>
  <c r="S112" i="2"/>
  <c r="R112" i="2"/>
  <c r="T112" i="2" s="1"/>
  <c r="AF111" i="2"/>
  <c r="U111" i="2"/>
  <c r="S111" i="2"/>
  <c r="R111" i="2"/>
  <c r="T111" i="2" s="1"/>
  <c r="AF110" i="2"/>
  <c r="U110" i="2"/>
  <c r="S110" i="2"/>
  <c r="R110" i="2"/>
  <c r="T110" i="2" s="1"/>
  <c r="AF109" i="2"/>
  <c r="U109" i="2"/>
  <c r="S109" i="2"/>
  <c r="R109" i="2"/>
  <c r="T109" i="2" s="1"/>
  <c r="AF108" i="2"/>
  <c r="U108" i="2"/>
  <c r="S108" i="2"/>
  <c r="R108" i="2"/>
  <c r="T108" i="2" s="1"/>
  <c r="AF107" i="2"/>
  <c r="U107" i="2"/>
  <c r="S107" i="2"/>
  <c r="R107" i="2"/>
  <c r="T107" i="2" s="1"/>
  <c r="AF106" i="2"/>
  <c r="U106" i="2"/>
  <c r="S106" i="2"/>
  <c r="R106" i="2"/>
  <c r="T106" i="2" s="1"/>
  <c r="AF105" i="2"/>
  <c r="U105" i="2"/>
  <c r="S105" i="2"/>
  <c r="R105" i="2"/>
  <c r="T105" i="2" s="1"/>
  <c r="AF104" i="2"/>
  <c r="U104" i="2"/>
  <c r="S104" i="2"/>
  <c r="R104" i="2"/>
  <c r="T104" i="2" s="1"/>
  <c r="AF103" i="2"/>
  <c r="U103" i="2"/>
  <c r="S103" i="2"/>
  <c r="R103" i="2"/>
  <c r="T103" i="2" s="1"/>
  <c r="AF102" i="2"/>
  <c r="U102" i="2"/>
  <c r="S102" i="2"/>
  <c r="R102" i="2"/>
  <c r="T102" i="2" s="1"/>
  <c r="AF101" i="2"/>
  <c r="U101" i="2"/>
  <c r="S101" i="2"/>
  <c r="R101" i="2"/>
  <c r="T101" i="2" s="1"/>
  <c r="AF100" i="2"/>
  <c r="U100" i="2"/>
  <c r="S100" i="2"/>
  <c r="R100" i="2"/>
  <c r="T100" i="2" s="1"/>
  <c r="AF99" i="2"/>
  <c r="U99" i="2"/>
  <c r="S99" i="2"/>
  <c r="R99" i="2"/>
  <c r="T99" i="2" s="1"/>
  <c r="AF98" i="2"/>
  <c r="U98" i="2"/>
  <c r="S98" i="2"/>
  <c r="R98" i="2"/>
  <c r="T98" i="2" s="1"/>
  <c r="AF97" i="2"/>
  <c r="U97" i="2"/>
  <c r="S97" i="2"/>
  <c r="R97" i="2"/>
  <c r="T97" i="2" s="1"/>
  <c r="AF96" i="2"/>
  <c r="U96" i="2"/>
  <c r="S96" i="2"/>
  <c r="R96" i="2"/>
  <c r="T96" i="2" s="1"/>
  <c r="AF95" i="2"/>
  <c r="U95" i="2"/>
  <c r="S95" i="2"/>
  <c r="R95" i="2"/>
  <c r="T95" i="2" s="1"/>
  <c r="AF94" i="2"/>
  <c r="U94" i="2"/>
  <c r="S94" i="2"/>
  <c r="R94" i="2"/>
  <c r="T94" i="2" s="1"/>
  <c r="AF93" i="2"/>
  <c r="U93" i="2"/>
  <c r="S93" i="2"/>
  <c r="R93" i="2"/>
  <c r="T93" i="2" s="1"/>
  <c r="AF92" i="2"/>
  <c r="U92" i="2"/>
  <c r="S92" i="2"/>
  <c r="R92" i="2"/>
  <c r="T92" i="2" s="1"/>
  <c r="AF91" i="2"/>
  <c r="U91" i="2"/>
  <c r="S91" i="2"/>
  <c r="R91" i="2"/>
  <c r="T91" i="2" s="1"/>
  <c r="AF90" i="2"/>
  <c r="U90" i="2"/>
  <c r="S90" i="2"/>
  <c r="R90" i="2"/>
  <c r="T90" i="2" s="1"/>
  <c r="AF89" i="2"/>
  <c r="U89" i="2"/>
  <c r="S89" i="2"/>
  <c r="R89" i="2"/>
  <c r="T89" i="2" s="1"/>
  <c r="AF88" i="2"/>
  <c r="U88" i="2"/>
  <c r="S88" i="2"/>
  <c r="R88" i="2"/>
  <c r="T88" i="2" s="1"/>
  <c r="AF87" i="2"/>
  <c r="U87" i="2"/>
  <c r="S87" i="2"/>
  <c r="R87" i="2"/>
  <c r="T87" i="2" s="1"/>
  <c r="AF86" i="2"/>
  <c r="U86" i="2"/>
  <c r="S86" i="2"/>
  <c r="R86" i="2"/>
  <c r="T86" i="2" s="1"/>
  <c r="AF85" i="2"/>
  <c r="U85" i="2"/>
  <c r="S85" i="2"/>
  <c r="R85" i="2"/>
  <c r="T85" i="2" s="1"/>
  <c r="AF84" i="2"/>
  <c r="U84" i="2"/>
  <c r="S84" i="2"/>
  <c r="R84" i="2"/>
  <c r="T84" i="2" s="1"/>
  <c r="AF83" i="2"/>
  <c r="U83" i="2"/>
  <c r="S83" i="2"/>
  <c r="R83" i="2"/>
  <c r="T83" i="2" s="1"/>
  <c r="AF82" i="2"/>
  <c r="U82" i="2"/>
  <c r="S82" i="2"/>
  <c r="R82" i="2"/>
  <c r="T82" i="2" s="1"/>
  <c r="AF81" i="2"/>
  <c r="U81" i="2"/>
  <c r="S81" i="2"/>
  <c r="R81" i="2"/>
  <c r="T81" i="2" s="1"/>
  <c r="AF80" i="2"/>
  <c r="U80" i="2"/>
  <c r="S80" i="2"/>
  <c r="R80" i="2"/>
  <c r="T80" i="2" s="1"/>
  <c r="AF79" i="2"/>
  <c r="U79" i="2"/>
  <c r="S79" i="2"/>
  <c r="R79" i="2"/>
  <c r="T79" i="2" s="1"/>
  <c r="AF78" i="2"/>
  <c r="U78" i="2"/>
  <c r="S78" i="2"/>
  <c r="R78" i="2"/>
  <c r="T78" i="2" s="1"/>
  <c r="AF77" i="2"/>
  <c r="U77" i="2"/>
  <c r="S77" i="2"/>
  <c r="R77" i="2"/>
  <c r="T77" i="2" s="1"/>
  <c r="AF76" i="2"/>
  <c r="U76" i="2"/>
  <c r="S76" i="2"/>
  <c r="R76" i="2"/>
  <c r="T76" i="2" s="1"/>
  <c r="AF75" i="2"/>
  <c r="U75" i="2"/>
  <c r="S75" i="2"/>
  <c r="R75" i="2"/>
  <c r="T75" i="2" s="1"/>
  <c r="AF74" i="2"/>
  <c r="U74" i="2"/>
  <c r="S74" i="2"/>
  <c r="R74" i="2"/>
  <c r="T74" i="2" s="1"/>
  <c r="AF73" i="2"/>
  <c r="U73" i="2"/>
  <c r="S73" i="2"/>
  <c r="R73" i="2"/>
  <c r="T73" i="2" s="1"/>
  <c r="AF72" i="2"/>
  <c r="U72" i="2"/>
  <c r="S72" i="2"/>
  <c r="R72" i="2"/>
  <c r="T72" i="2" s="1"/>
  <c r="AF71" i="2"/>
  <c r="U71" i="2"/>
  <c r="S71" i="2"/>
  <c r="R71" i="2"/>
  <c r="T71" i="2" s="1"/>
  <c r="AF70" i="2"/>
  <c r="U70" i="2"/>
  <c r="S70" i="2"/>
  <c r="R70" i="2"/>
  <c r="T70" i="2" s="1"/>
  <c r="AF69" i="2"/>
  <c r="U69" i="2"/>
  <c r="S69" i="2"/>
  <c r="R69" i="2"/>
  <c r="T69" i="2" s="1"/>
  <c r="AF68" i="2"/>
  <c r="U68" i="2"/>
  <c r="S68" i="2"/>
  <c r="R68" i="2"/>
  <c r="T68" i="2" s="1"/>
  <c r="AF67" i="2"/>
  <c r="U67" i="2"/>
  <c r="S67" i="2"/>
  <c r="R67" i="2"/>
  <c r="T67" i="2" s="1"/>
  <c r="AF66" i="2"/>
  <c r="U66" i="2"/>
  <c r="S66" i="2"/>
  <c r="R66" i="2"/>
  <c r="T66" i="2" s="1"/>
  <c r="AF65" i="2"/>
  <c r="U65" i="2"/>
  <c r="S65" i="2"/>
  <c r="R65" i="2"/>
  <c r="T65" i="2" s="1"/>
  <c r="AF64" i="2"/>
  <c r="U64" i="2"/>
  <c r="S64" i="2"/>
  <c r="R64" i="2"/>
  <c r="T64" i="2" s="1"/>
  <c r="AF63" i="2"/>
  <c r="U63" i="2"/>
  <c r="S63" i="2"/>
  <c r="R63" i="2"/>
  <c r="T63" i="2" s="1"/>
  <c r="AF62" i="2"/>
  <c r="U62" i="2"/>
  <c r="S62" i="2"/>
  <c r="R62" i="2"/>
  <c r="T62" i="2" s="1"/>
  <c r="AF61" i="2"/>
  <c r="U61" i="2"/>
  <c r="S61" i="2"/>
  <c r="R61" i="2"/>
  <c r="T61" i="2" s="1"/>
  <c r="AF60" i="2"/>
  <c r="U60" i="2"/>
  <c r="S60" i="2"/>
  <c r="R60" i="2"/>
  <c r="T60" i="2" s="1"/>
  <c r="AF59" i="2"/>
  <c r="U59" i="2"/>
  <c r="S59" i="2"/>
  <c r="R59" i="2"/>
  <c r="T59" i="2" s="1"/>
  <c r="AF58" i="2"/>
  <c r="U58" i="2"/>
  <c r="S58" i="2"/>
  <c r="R58" i="2"/>
  <c r="T58" i="2" s="1"/>
  <c r="AF57" i="2"/>
  <c r="U57" i="2"/>
  <c r="S57" i="2"/>
  <c r="R57" i="2"/>
  <c r="T57" i="2" s="1"/>
  <c r="AF56" i="2"/>
  <c r="U56" i="2"/>
  <c r="S56" i="2"/>
  <c r="R56" i="2"/>
  <c r="T56" i="2" s="1"/>
  <c r="AF55" i="2"/>
  <c r="U55" i="2"/>
  <c r="S55" i="2"/>
  <c r="R55" i="2"/>
  <c r="T55" i="2" s="1"/>
  <c r="AF54" i="2"/>
  <c r="U54" i="2"/>
  <c r="S54" i="2"/>
  <c r="R54" i="2"/>
  <c r="T54" i="2" s="1"/>
  <c r="AF53" i="2"/>
  <c r="U53" i="2"/>
  <c r="S53" i="2"/>
  <c r="R53" i="2"/>
  <c r="T53" i="2" s="1"/>
  <c r="AF52" i="2"/>
  <c r="U52" i="2"/>
  <c r="S52" i="2"/>
  <c r="R52" i="2"/>
  <c r="T52" i="2" s="1"/>
  <c r="AF51" i="2"/>
  <c r="U51" i="2"/>
  <c r="S51" i="2"/>
  <c r="R51" i="2"/>
  <c r="T51" i="2" s="1"/>
  <c r="AF50" i="2"/>
  <c r="U50" i="2"/>
  <c r="S50" i="2"/>
  <c r="R50" i="2"/>
  <c r="T50" i="2" s="1"/>
  <c r="AF49" i="2"/>
  <c r="U49" i="2"/>
  <c r="S49" i="2"/>
  <c r="R49" i="2"/>
  <c r="T49" i="2" s="1"/>
  <c r="AF48" i="2"/>
  <c r="U48" i="2"/>
  <c r="S48" i="2"/>
  <c r="R48" i="2"/>
  <c r="T48" i="2" s="1"/>
  <c r="AF47" i="2"/>
  <c r="U47" i="2"/>
  <c r="S47" i="2"/>
  <c r="R47" i="2"/>
  <c r="T47" i="2" s="1"/>
  <c r="AF46" i="2"/>
  <c r="U46" i="2"/>
  <c r="S46" i="2"/>
  <c r="R46" i="2"/>
  <c r="T46" i="2" s="1"/>
  <c r="AF45" i="2"/>
  <c r="U45" i="2"/>
  <c r="S45" i="2"/>
  <c r="R45" i="2"/>
  <c r="T45" i="2" s="1"/>
  <c r="AF44" i="2"/>
  <c r="U44" i="2"/>
  <c r="S44" i="2"/>
  <c r="R44" i="2"/>
  <c r="T44" i="2" s="1"/>
  <c r="AF43" i="2"/>
  <c r="U43" i="2"/>
  <c r="S43" i="2"/>
  <c r="R43" i="2"/>
  <c r="T43" i="2" s="1"/>
  <c r="AF42" i="2"/>
  <c r="U42" i="2"/>
  <c r="S42" i="2"/>
  <c r="R42" i="2"/>
  <c r="T42" i="2" s="1"/>
  <c r="AF41" i="2"/>
  <c r="U41" i="2"/>
  <c r="S41" i="2"/>
  <c r="R41" i="2"/>
  <c r="T41" i="2" s="1"/>
  <c r="AF40" i="2"/>
  <c r="U40" i="2"/>
  <c r="S40" i="2"/>
  <c r="R40" i="2"/>
  <c r="T40" i="2" s="1"/>
  <c r="AF39" i="2"/>
  <c r="U39" i="2"/>
  <c r="S39" i="2"/>
  <c r="R39" i="2"/>
  <c r="T39" i="2" s="1"/>
  <c r="AF38" i="2"/>
  <c r="U38" i="2"/>
  <c r="S38" i="2"/>
  <c r="R38" i="2"/>
  <c r="T38" i="2" s="1"/>
  <c r="AF37" i="2"/>
  <c r="U37" i="2"/>
  <c r="S37" i="2"/>
  <c r="R37" i="2"/>
  <c r="T37" i="2" s="1"/>
  <c r="AF36" i="2"/>
  <c r="U36" i="2"/>
  <c r="S36" i="2"/>
  <c r="R36" i="2"/>
  <c r="T36" i="2" s="1"/>
  <c r="AF35" i="2"/>
  <c r="U35" i="2"/>
  <c r="S35" i="2"/>
  <c r="R35" i="2"/>
  <c r="T35" i="2" s="1"/>
  <c r="AF34" i="2"/>
  <c r="U34" i="2"/>
  <c r="S34" i="2"/>
  <c r="R34" i="2"/>
  <c r="T34" i="2" s="1"/>
  <c r="AF33" i="2"/>
  <c r="U33" i="2"/>
  <c r="S33" i="2"/>
  <c r="R33" i="2"/>
  <c r="T33" i="2" s="1"/>
  <c r="AF32" i="2"/>
  <c r="U32" i="2"/>
  <c r="S32" i="2"/>
  <c r="R32" i="2"/>
  <c r="T32" i="2" s="1"/>
  <c r="AF31" i="2"/>
  <c r="U31" i="2"/>
  <c r="S31" i="2"/>
  <c r="R31" i="2"/>
  <c r="T31" i="2" s="1"/>
  <c r="AF30" i="2"/>
  <c r="U30" i="2"/>
  <c r="S30" i="2"/>
  <c r="R30" i="2"/>
  <c r="T30" i="2" s="1"/>
  <c r="AF29" i="2"/>
  <c r="U29" i="2"/>
  <c r="S29" i="2"/>
  <c r="R29" i="2"/>
  <c r="T29" i="2" s="1"/>
  <c r="AF28" i="2"/>
  <c r="U28" i="2"/>
  <c r="S28" i="2"/>
  <c r="R28" i="2"/>
  <c r="T28" i="2" s="1"/>
  <c r="AF27" i="2"/>
  <c r="U27" i="2"/>
  <c r="S27" i="2"/>
  <c r="R27" i="2"/>
  <c r="T27" i="2" s="1"/>
  <c r="AF26" i="2"/>
  <c r="U26" i="2"/>
  <c r="S26" i="2"/>
  <c r="R26" i="2"/>
  <c r="T26" i="2" s="1"/>
  <c r="AF25" i="2"/>
  <c r="U25" i="2"/>
  <c r="S25" i="2"/>
  <c r="R25" i="2"/>
  <c r="T25" i="2" s="1"/>
  <c r="AF24" i="2"/>
  <c r="U24" i="2"/>
  <c r="S24" i="2"/>
  <c r="R24" i="2"/>
  <c r="T24" i="2" s="1"/>
  <c r="AF23" i="2"/>
  <c r="U23" i="2"/>
  <c r="S23" i="2"/>
  <c r="R23" i="2"/>
  <c r="T23" i="2" s="1"/>
  <c r="AF22" i="2"/>
  <c r="U22" i="2"/>
  <c r="S22" i="2"/>
  <c r="R22" i="2"/>
  <c r="T22" i="2" s="1"/>
  <c r="AF21" i="2"/>
  <c r="U21" i="2"/>
  <c r="S21" i="2"/>
  <c r="R21" i="2"/>
  <c r="T21" i="2" s="1"/>
  <c r="AF20" i="2"/>
  <c r="U20" i="2"/>
  <c r="S20" i="2"/>
  <c r="R20" i="2"/>
  <c r="T20" i="2" s="1"/>
  <c r="AF19" i="2"/>
  <c r="U19" i="2"/>
  <c r="S19" i="2"/>
  <c r="R19" i="2"/>
  <c r="T19" i="2" s="1"/>
  <c r="AF18" i="2"/>
  <c r="U18" i="2"/>
  <c r="S18" i="2"/>
  <c r="R18" i="2"/>
  <c r="T18" i="2" s="1"/>
  <c r="AF17" i="2"/>
  <c r="U17" i="2"/>
  <c r="S17" i="2"/>
  <c r="R17" i="2"/>
  <c r="T17" i="2" s="1"/>
  <c r="AF16" i="2"/>
  <c r="U16" i="2"/>
  <c r="S16" i="2"/>
  <c r="R16" i="2"/>
  <c r="T16" i="2" s="1"/>
  <c r="AF15" i="2"/>
  <c r="U15" i="2"/>
  <c r="S15" i="2"/>
  <c r="R15" i="2"/>
  <c r="T15" i="2" s="1"/>
  <c r="AF14" i="2"/>
  <c r="U14" i="2"/>
  <c r="S14" i="2"/>
  <c r="R14" i="2"/>
  <c r="T14" i="2" s="1"/>
  <c r="AF13" i="2"/>
  <c r="U13" i="2"/>
  <c r="S13" i="2"/>
  <c r="R13" i="2"/>
  <c r="T13" i="2" s="1"/>
  <c r="AF12" i="2"/>
  <c r="U12" i="2"/>
  <c r="S12" i="2"/>
  <c r="R12" i="2"/>
  <c r="T12" i="2" s="1"/>
  <c r="AF11" i="2"/>
  <c r="U11" i="2"/>
  <c r="S11" i="2"/>
  <c r="R11" i="2"/>
  <c r="T11" i="2" s="1"/>
  <c r="AF10" i="2"/>
  <c r="U10" i="2"/>
  <c r="S10" i="2"/>
  <c r="R10" i="2"/>
  <c r="T10" i="2" s="1"/>
  <c r="AF9" i="2"/>
  <c r="U9" i="2"/>
  <c r="S9" i="2"/>
  <c r="R9" i="2"/>
  <c r="T9" i="2" s="1"/>
  <c r="AF8" i="2"/>
  <c r="U8" i="2"/>
  <c r="S8" i="2"/>
  <c r="R8" i="2"/>
  <c r="T8" i="2" s="1"/>
  <c r="AF16" i="5" l="1"/>
  <c r="AF39" i="5"/>
  <c r="AF44" i="5"/>
  <c r="AF29" i="5"/>
  <c r="AG29" i="2"/>
  <c r="AG77" i="2"/>
  <c r="AG31" i="2"/>
  <c r="AG154" i="2"/>
  <c r="AF36" i="5"/>
  <c r="AF13" i="5"/>
  <c r="AF35" i="5"/>
  <c r="AF12" i="5"/>
  <c r="AG73" i="2"/>
  <c r="AG85" i="2"/>
  <c r="AF45" i="5"/>
  <c r="AF22" i="5"/>
  <c r="AF9" i="5"/>
  <c r="AG189" i="2"/>
  <c r="AG227" i="2"/>
  <c r="AG13" i="2"/>
  <c r="AG15" i="2"/>
  <c r="AG48" i="2"/>
  <c r="AG51" i="2"/>
  <c r="AG106" i="2"/>
  <c r="AG173" i="2"/>
  <c r="AG202" i="2"/>
  <c r="AG37" i="2"/>
  <c r="AG39" i="2"/>
  <c r="AG24" i="2"/>
  <c r="AG149" i="2"/>
  <c r="AF47" i="5"/>
  <c r="AF40" i="5"/>
  <c r="AF32" i="5"/>
  <c r="AF25" i="5"/>
  <c r="AF17" i="5"/>
  <c r="AF28" i="5"/>
  <c r="AG225" i="2"/>
  <c r="U233" i="2"/>
  <c r="AF43" i="5"/>
  <c r="AF46" i="5"/>
  <c r="AF24" i="5"/>
  <c r="AF38" i="5"/>
  <c r="AF31" i="5"/>
  <c r="AF23" i="5"/>
  <c r="AF15" i="5"/>
  <c r="AF42" i="5"/>
  <c r="AF34" i="5"/>
  <c r="AF27" i="5"/>
  <c r="AF19" i="5"/>
  <c r="AF11" i="5"/>
  <c r="AF48" i="5"/>
  <c r="AF41" i="5"/>
  <c r="AF33" i="5"/>
  <c r="AF26" i="5"/>
  <c r="AF18" i="5"/>
  <c r="AF10" i="5"/>
  <c r="AG178" i="2"/>
  <c r="AG32" i="2"/>
  <c r="AG21" i="2"/>
  <c r="AG23" i="2"/>
  <c r="AG210" i="2"/>
  <c r="AG16" i="2"/>
  <c r="AG113" i="2"/>
  <c r="AG141" i="2"/>
  <c r="AG205" i="2"/>
  <c r="AG40" i="2"/>
  <c r="AG117" i="2"/>
  <c r="AG165" i="2"/>
  <c r="AG197" i="2"/>
  <c r="AG8" i="2"/>
  <c r="AG82" i="2"/>
  <c r="AG133" i="2"/>
  <c r="AG186" i="2"/>
  <c r="AG224" i="2"/>
  <c r="AG56" i="2"/>
  <c r="AG59" i="2"/>
  <c r="AG101" i="2"/>
  <c r="AG217" i="2"/>
  <c r="AG10" i="2"/>
  <c r="AG18" i="2"/>
  <c r="AG26" i="2"/>
  <c r="AG34" i="2"/>
  <c r="AG42" i="2"/>
  <c r="AG50" i="2"/>
  <c r="AG58" i="2"/>
  <c r="AG61" i="2"/>
  <c r="AG89" i="2"/>
  <c r="AG94" i="2"/>
  <c r="AG129" i="2"/>
  <c r="AG151" i="2"/>
  <c r="AG175" i="2"/>
  <c r="AG199" i="2"/>
  <c r="AG213" i="2"/>
  <c r="AG221" i="2"/>
  <c r="AG45" i="2"/>
  <c r="AG226" i="2"/>
  <c r="AG12" i="2"/>
  <c r="AG20" i="2"/>
  <c r="AG28" i="2"/>
  <c r="AG36" i="2"/>
  <c r="AG44" i="2"/>
  <c r="AG52" i="2"/>
  <c r="AG65" i="2"/>
  <c r="AG70" i="2"/>
  <c r="AG105" i="2"/>
  <c r="AG145" i="2"/>
  <c r="AG153" i="2"/>
  <c r="AG161" i="2"/>
  <c r="AG177" i="2"/>
  <c r="AG185" i="2"/>
  <c r="AG201" i="2"/>
  <c r="AG209" i="2"/>
  <c r="AG215" i="2"/>
  <c r="AG223" i="2"/>
  <c r="AG232" i="2"/>
  <c r="AG17" i="2"/>
  <c r="AG25" i="2"/>
  <c r="AG33" i="2"/>
  <c r="AG41" i="2"/>
  <c r="AG47" i="2"/>
  <c r="AG55" i="2"/>
  <c r="AG60" i="2"/>
  <c r="AG93" i="2"/>
  <c r="AG121" i="2"/>
  <c r="AG137" i="2"/>
  <c r="AG142" i="2"/>
  <c r="AG166" i="2"/>
  <c r="AG174" i="2"/>
  <c r="AG190" i="2"/>
  <c r="AG198" i="2"/>
  <c r="AG214" i="2"/>
  <c r="AG220" i="2"/>
  <c r="AG228" i="2"/>
  <c r="AG53" i="2"/>
  <c r="AG14" i="2"/>
  <c r="AG22" i="2"/>
  <c r="AG30" i="2"/>
  <c r="AG38" i="2"/>
  <c r="AG46" i="2"/>
  <c r="AG54" i="2"/>
  <c r="AG81" i="2"/>
  <c r="AG109" i="2"/>
  <c r="AG139" i="2"/>
  <c r="AG163" i="2"/>
  <c r="AG187" i="2"/>
  <c r="AG9" i="2"/>
  <c r="AG11" i="2"/>
  <c r="AG19" i="2"/>
  <c r="AG27" i="2"/>
  <c r="AG35" i="2"/>
  <c r="AG43" i="2"/>
  <c r="AG49" i="2"/>
  <c r="AG57" i="2"/>
  <c r="AG69" i="2"/>
  <c r="AG97" i="2"/>
  <c r="AG125" i="2"/>
  <c r="AG130" i="2"/>
  <c r="AG222" i="2"/>
  <c r="AF21" i="5"/>
  <c r="AG118" i="2"/>
  <c r="AG211" i="2"/>
  <c r="AG219" i="2"/>
  <c r="AG229" i="2"/>
  <c r="AG63" i="2"/>
  <c r="AG75" i="2"/>
  <c r="AG87" i="2"/>
  <c r="AG99" i="2"/>
  <c r="AG111" i="2"/>
  <c r="AG123" i="2"/>
  <c r="AG135" i="2"/>
  <c r="AG147" i="2"/>
  <c r="AG159" i="2"/>
  <c r="AG171" i="2"/>
  <c r="AG183" i="2"/>
  <c r="AG195" i="2"/>
  <c r="AG207" i="2"/>
  <c r="AG68" i="2"/>
  <c r="AG80" i="2"/>
  <c r="AG92" i="2"/>
  <c r="AG104" i="2"/>
  <c r="AG116" i="2"/>
  <c r="AG128" i="2"/>
  <c r="AG140" i="2"/>
  <c r="AG152" i="2"/>
  <c r="AG164" i="2"/>
  <c r="AG176" i="2"/>
  <c r="AG188" i="2"/>
  <c r="AG200" i="2"/>
  <c r="AG212" i="2"/>
  <c r="AG157" i="2"/>
  <c r="AG169" i="2"/>
  <c r="AG181" i="2"/>
  <c r="AG193" i="2"/>
  <c r="AG66" i="2"/>
  <c r="AG78" i="2"/>
  <c r="AG90" i="2"/>
  <c r="AG102" i="2"/>
  <c r="AG114" i="2"/>
  <c r="AG126" i="2"/>
  <c r="AG138" i="2"/>
  <c r="AG150" i="2"/>
  <c r="AG162" i="2"/>
  <c r="AG71" i="2"/>
  <c r="AG83" i="2"/>
  <c r="AG95" i="2"/>
  <c r="AG107" i="2"/>
  <c r="AG119" i="2"/>
  <c r="AG131" i="2"/>
  <c r="AG143" i="2"/>
  <c r="AG155" i="2"/>
  <c r="AG167" i="2"/>
  <c r="AG179" i="2"/>
  <c r="AG191" i="2"/>
  <c r="AG203" i="2"/>
  <c r="AG64" i="2"/>
  <c r="AG76" i="2"/>
  <c r="AG88" i="2"/>
  <c r="AG100" i="2"/>
  <c r="AG112" i="2"/>
  <c r="AG124" i="2"/>
  <c r="AG136" i="2"/>
  <c r="AG148" i="2"/>
  <c r="AG160" i="2"/>
  <c r="AG172" i="2"/>
  <c r="AG184" i="2"/>
  <c r="AG196" i="2"/>
  <c r="AG208" i="2"/>
  <c r="AG62" i="2"/>
  <c r="AG74" i="2"/>
  <c r="AG86" i="2"/>
  <c r="AG98" i="2"/>
  <c r="AG110" i="2"/>
  <c r="AG122" i="2"/>
  <c r="AG134" i="2"/>
  <c r="AG146" i="2"/>
  <c r="AG158" i="2"/>
  <c r="AG170" i="2"/>
  <c r="AG182" i="2"/>
  <c r="AG194" i="2"/>
  <c r="AG206" i="2"/>
  <c r="AG218" i="2"/>
  <c r="AG67" i="2"/>
  <c r="AG79" i="2"/>
  <c r="AG91" i="2"/>
  <c r="AG103" i="2"/>
  <c r="AG115" i="2"/>
  <c r="AG127" i="2"/>
  <c r="AG72" i="2"/>
  <c r="AG84" i="2"/>
  <c r="AG96" i="2"/>
  <c r="AG108" i="2"/>
  <c r="AG120" i="2"/>
  <c r="AG132" i="2"/>
  <c r="AG144" i="2"/>
  <c r="AG156" i="2"/>
  <c r="AG168" i="2"/>
  <c r="AG180" i="2"/>
  <c r="AG192" i="2"/>
  <c r="AG204" i="2"/>
  <c r="AG216" i="2"/>
  <c r="P2" i="2"/>
  <c r="A9" i="2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U18" i="7"/>
  <c r="U17" i="7"/>
  <c r="U16" i="7"/>
  <c r="U15" i="7"/>
  <c r="U14" i="7"/>
  <c r="U13" i="7"/>
  <c r="U12" i="7"/>
  <c r="U11" i="7"/>
  <c r="U10" i="7"/>
  <c r="U9" i="7"/>
  <c r="U8" i="7"/>
  <c r="S18" i="7"/>
  <c r="S17" i="7"/>
  <c r="S16" i="7"/>
  <c r="S15" i="7"/>
  <c r="S14" i="7"/>
  <c r="S13" i="7"/>
  <c r="S12" i="7"/>
  <c r="S11" i="7"/>
  <c r="S10" i="7"/>
  <c r="S9" i="7"/>
  <c r="S8" i="7"/>
  <c r="U19" i="7" l="1"/>
  <c r="AG233" i="2"/>
  <c r="E10" i="12" s="1"/>
  <c r="T8" i="6"/>
  <c r="T9" i="6"/>
  <c r="T10" i="6"/>
  <c r="T11" i="6"/>
  <c r="T12" i="6"/>
  <c r="T13" i="6"/>
  <c r="T14" i="6"/>
  <c r="T15" i="6"/>
  <c r="T16" i="6"/>
  <c r="T17" i="6"/>
  <c r="T19" i="6"/>
  <c r="T20" i="6"/>
  <c r="T21" i="6"/>
  <c r="R9" i="7"/>
  <c r="R10" i="7"/>
  <c r="R11" i="7"/>
  <c r="R12" i="7"/>
  <c r="R13" i="7"/>
  <c r="R14" i="7"/>
  <c r="R15" i="7"/>
  <c r="R16" i="7"/>
  <c r="R17" i="7"/>
  <c r="R18" i="7"/>
  <c r="R8" i="7"/>
  <c r="R9" i="8"/>
  <c r="T9" i="8" s="1"/>
  <c r="R10" i="8"/>
  <c r="T10" i="8" s="1"/>
  <c r="R11" i="8"/>
  <c r="T11" i="8" s="1"/>
  <c r="R12" i="8"/>
  <c r="T12" i="8" s="1"/>
  <c r="R13" i="8"/>
  <c r="T13" i="8" s="1"/>
  <c r="R14" i="8"/>
  <c r="T14" i="8" s="1"/>
  <c r="R15" i="8"/>
  <c r="T15" i="8" s="1"/>
  <c r="R16" i="8"/>
  <c r="T16" i="8" s="1"/>
  <c r="R17" i="8"/>
  <c r="T17" i="8" s="1"/>
  <c r="R18" i="8"/>
  <c r="T18" i="8" s="1"/>
  <c r="R19" i="8"/>
  <c r="T19" i="8" s="1"/>
  <c r="R20" i="8"/>
  <c r="T20" i="8" s="1"/>
  <c r="R21" i="8"/>
  <c r="T21" i="8" s="1"/>
  <c r="R22" i="8"/>
  <c r="T22" i="8" s="1"/>
  <c r="R23" i="8"/>
  <c r="T23" i="8" s="1"/>
  <c r="R24" i="8"/>
  <c r="T24" i="8" s="1"/>
  <c r="R25" i="8"/>
  <c r="T25" i="8" s="1"/>
  <c r="R26" i="8"/>
  <c r="T26" i="8" s="1"/>
  <c r="R27" i="8"/>
  <c r="T27" i="8" s="1"/>
  <c r="R28" i="8"/>
  <c r="T28" i="8" s="1"/>
  <c r="R29" i="8"/>
  <c r="T29" i="8" s="1"/>
  <c r="R30" i="8"/>
  <c r="T30" i="8" s="1"/>
  <c r="R31" i="8"/>
  <c r="T31" i="8" s="1"/>
  <c r="R32" i="8"/>
  <c r="T32" i="8" s="1"/>
  <c r="R33" i="8"/>
  <c r="T33" i="8" s="1"/>
  <c r="R34" i="8"/>
  <c r="T34" i="8" s="1"/>
  <c r="R35" i="8"/>
  <c r="T35" i="8" s="1"/>
  <c r="R36" i="8"/>
  <c r="T36" i="8" s="1"/>
  <c r="R37" i="8"/>
  <c r="T37" i="8" s="1"/>
  <c r="R38" i="8"/>
  <c r="T38" i="8" s="1"/>
  <c r="R39" i="8"/>
  <c r="T39" i="8" s="1"/>
  <c r="R40" i="8"/>
  <c r="T40" i="8" s="1"/>
  <c r="R41" i="8"/>
  <c r="T41" i="8" s="1"/>
  <c r="R42" i="8"/>
  <c r="T42" i="8" s="1"/>
  <c r="R43" i="8"/>
  <c r="T43" i="8" s="1"/>
  <c r="R44" i="8"/>
  <c r="T44" i="8" s="1"/>
  <c r="R45" i="8"/>
  <c r="T45" i="8" s="1"/>
  <c r="R46" i="8"/>
  <c r="T46" i="8" s="1"/>
  <c r="R47" i="8"/>
  <c r="T47" i="8" s="1"/>
  <c r="R48" i="8"/>
  <c r="T48" i="8" s="1"/>
  <c r="R8" i="8"/>
  <c r="T8" i="8" s="1"/>
  <c r="R9" i="18"/>
  <c r="T9" i="18" s="1"/>
  <c r="S9" i="18"/>
  <c r="R10" i="18"/>
  <c r="T10" i="18" s="1"/>
  <c r="S10" i="18"/>
  <c r="R11" i="18"/>
  <c r="T11" i="18" s="1"/>
  <c r="S11" i="18"/>
  <c r="R12" i="18"/>
  <c r="T12" i="18" s="1"/>
  <c r="S12" i="18"/>
  <c r="R13" i="18"/>
  <c r="T13" i="18" s="1"/>
  <c r="S13" i="18"/>
  <c r="R14" i="18"/>
  <c r="T14" i="18" s="1"/>
  <c r="S14" i="18"/>
  <c r="R15" i="18"/>
  <c r="T15" i="18" s="1"/>
  <c r="S15" i="18"/>
  <c r="R16" i="18"/>
  <c r="T16" i="18" s="1"/>
  <c r="S16" i="18"/>
  <c r="R17" i="18"/>
  <c r="T17" i="18" s="1"/>
  <c r="S17" i="18"/>
  <c r="R18" i="18"/>
  <c r="T18" i="18" s="1"/>
  <c r="S18" i="18"/>
  <c r="R19" i="18"/>
  <c r="T19" i="18" s="1"/>
  <c r="S19" i="18"/>
  <c r="R20" i="18"/>
  <c r="T20" i="18" s="1"/>
  <c r="S20" i="18"/>
  <c r="R21" i="18"/>
  <c r="T21" i="18" s="1"/>
  <c r="S21" i="18"/>
  <c r="R22" i="18"/>
  <c r="T22" i="18" s="1"/>
  <c r="S22" i="18"/>
  <c r="R23" i="18"/>
  <c r="T23" i="18" s="1"/>
  <c r="S23" i="18"/>
  <c r="R24" i="18"/>
  <c r="T24" i="18" s="1"/>
  <c r="S24" i="18"/>
  <c r="R25" i="18"/>
  <c r="T25" i="18" s="1"/>
  <c r="S25" i="18"/>
  <c r="R26" i="18"/>
  <c r="T26" i="18" s="1"/>
  <c r="S26" i="18"/>
  <c r="R27" i="18"/>
  <c r="T27" i="18" s="1"/>
  <c r="S27" i="18"/>
  <c r="R28" i="18"/>
  <c r="T28" i="18" s="1"/>
  <c r="S28" i="18"/>
  <c r="R29" i="18"/>
  <c r="T29" i="18" s="1"/>
  <c r="S29" i="18"/>
  <c r="R30" i="18"/>
  <c r="T30" i="18" s="1"/>
  <c r="S30" i="18"/>
  <c r="R31" i="18"/>
  <c r="T31" i="18" s="1"/>
  <c r="S31" i="18"/>
  <c r="R32" i="18"/>
  <c r="T32" i="18" s="1"/>
  <c r="S32" i="18"/>
  <c r="R33" i="18"/>
  <c r="T33" i="18" s="1"/>
  <c r="S33" i="18"/>
  <c r="R34" i="18"/>
  <c r="T34" i="18" s="1"/>
  <c r="S34" i="18"/>
  <c r="R35" i="18"/>
  <c r="T35" i="18" s="1"/>
  <c r="S35" i="18"/>
  <c r="R36" i="18"/>
  <c r="T36" i="18" s="1"/>
  <c r="S36" i="18"/>
  <c r="R37" i="18"/>
  <c r="T37" i="18" s="1"/>
  <c r="S37" i="18"/>
  <c r="R38" i="18"/>
  <c r="T38" i="18" s="1"/>
  <c r="S38" i="18"/>
  <c r="R39" i="18"/>
  <c r="T39" i="18" s="1"/>
  <c r="S39" i="18"/>
  <c r="R40" i="18"/>
  <c r="T40" i="18" s="1"/>
  <c r="S40" i="18"/>
  <c r="R41" i="18"/>
  <c r="T41" i="18" s="1"/>
  <c r="S41" i="18"/>
  <c r="R42" i="18"/>
  <c r="T42" i="18" s="1"/>
  <c r="S42" i="18"/>
  <c r="R43" i="18"/>
  <c r="T43" i="18" s="1"/>
  <c r="S43" i="18"/>
  <c r="R44" i="18"/>
  <c r="T44" i="18" s="1"/>
  <c r="S44" i="18"/>
  <c r="R45" i="18"/>
  <c r="T45" i="18" s="1"/>
  <c r="S45" i="18"/>
  <c r="R46" i="18"/>
  <c r="T46" i="18" s="1"/>
  <c r="S46" i="18"/>
  <c r="R47" i="18"/>
  <c r="T47" i="18" s="1"/>
  <c r="S47" i="18"/>
  <c r="R48" i="18"/>
  <c r="T48" i="18" s="1"/>
  <c r="S48" i="18"/>
  <c r="R49" i="18"/>
  <c r="T49" i="18" s="1"/>
  <c r="S49" i="18"/>
  <c r="R50" i="18"/>
  <c r="T50" i="18" s="1"/>
  <c r="S50" i="18"/>
  <c r="R51" i="18"/>
  <c r="T51" i="18" s="1"/>
  <c r="S51" i="18"/>
  <c r="R52" i="18"/>
  <c r="T52" i="18" s="1"/>
  <c r="S52" i="18"/>
  <c r="R53" i="18"/>
  <c r="T53" i="18" s="1"/>
  <c r="S53" i="18"/>
  <c r="R54" i="18"/>
  <c r="T54" i="18" s="1"/>
  <c r="S54" i="18"/>
  <c r="R55" i="18"/>
  <c r="T55" i="18" s="1"/>
  <c r="S55" i="18"/>
  <c r="R56" i="18"/>
  <c r="T56" i="18" s="1"/>
  <c r="S56" i="18"/>
  <c r="R57" i="18"/>
  <c r="T57" i="18" s="1"/>
  <c r="S57" i="18"/>
  <c r="R58" i="18"/>
  <c r="T58" i="18" s="1"/>
  <c r="S58" i="18"/>
  <c r="R59" i="18"/>
  <c r="T59" i="18" s="1"/>
  <c r="S59" i="18"/>
  <c r="R60" i="18"/>
  <c r="T60" i="18" s="1"/>
  <c r="S60" i="18"/>
  <c r="R61" i="18"/>
  <c r="T61" i="18" s="1"/>
  <c r="S61" i="18"/>
  <c r="R62" i="18"/>
  <c r="T62" i="18" s="1"/>
  <c r="S62" i="18"/>
  <c r="R63" i="18"/>
  <c r="T63" i="18" s="1"/>
  <c r="S63" i="18"/>
  <c r="R64" i="18"/>
  <c r="T64" i="18" s="1"/>
  <c r="S64" i="18"/>
  <c r="R65" i="18"/>
  <c r="T65" i="18" s="1"/>
  <c r="S65" i="18"/>
  <c r="R66" i="18"/>
  <c r="T66" i="18" s="1"/>
  <c r="S66" i="18"/>
  <c r="R67" i="18"/>
  <c r="T67" i="18" s="1"/>
  <c r="S67" i="18"/>
  <c r="R68" i="18"/>
  <c r="T68" i="18" s="1"/>
  <c r="S68" i="18"/>
  <c r="R69" i="18"/>
  <c r="T69" i="18" s="1"/>
  <c r="S69" i="18"/>
  <c r="R70" i="18"/>
  <c r="T70" i="18" s="1"/>
  <c r="S70" i="18"/>
  <c r="R71" i="18"/>
  <c r="T71" i="18" s="1"/>
  <c r="S71" i="18"/>
  <c r="R72" i="18"/>
  <c r="T72" i="18" s="1"/>
  <c r="S72" i="18"/>
  <c r="R73" i="18"/>
  <c r="T73" i="18" s="1"/>
  <c r="S73" i="18"/>
  <c r="R74" i="18"/>
  <c r="T74" i="18" s="1"/>
  <c r="S74" i="18"/>
  <c r="R75" i="18"/>
  <c r="T75" i="18" s="1"/>
  <c r="S75" i="18"/>
  <c r="R76" i="18"/>
  <c r="T76" i="18" s="1"/>
  <c r="S76" i="18"/>
  <c r="R80" i="18"/>
  <c r="T80" i="18" s="1"/>
  <c r="S80" i="18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8" i="5"/>
  <c r="T22" i="6" l="1"/>
  <c r="Q27" i="16"/>
  <c r="S27" i="16" s="1"/>
  <c r="R27" i="16"/>
  <c r="T27" i="16"/>
  <c r="BG27" i="16"/>
  <c r="Q25" i="16"/>
  <c r="S25" i="16" s="1"/>
  <c r="R25" i="16"/>
  <c r="T25" i="16"/>
  <c r="BG25" i="16"/>
  <c r="BG24" i="16"/>
  <c r="T24" i="16"/>
  <c r="R24" i="16"/>
  <c r="Q24" i="16"/>
  <c r="S24" i="16" s="1"/>
  <c r="BH27" i="16" l="1"/>
  <c r="BH25" i="16"/>
  <c r="BH24" i="16"/>
  <c r="BG22" i="16"/>
  <c r="T22" i="16"/>
  <c r="Q22" i="16"/>
  <c r="S22" i="16" s="1"/>
  <c r="R22" i="16"/>
  <c r="T15" i="3"/>
  <c r="R15" i="3"/>
  <c r="Q15" i="3"/>
  <c r="S15" i="3" s="1"/>
  <c r="BH22" i="16" l="1"/>
  <c r="AE15" i="3"/>
  <c r="AF15" i="3" s="1"/>
  <c r="A15" i="3"/>
  <c r="AE16" i="3"/>
  <c r="T16" i="3"/>
  <c r="Q16" i="3"/>
  <c r="S16" i="3" s="1"/>
  <c r="AF16" i="3" l="1"/>
  <c r="Q19" i="6"/>
  <c r="S19" i="6" s="1"/>
  <c r="Q20" i="6"/>
  <c r="S20" i="6" s="1"/>
  <c r="Q21" i="6"/>
  <c r="S21" i="6" s="1"/>
  <c r="R19" i="6"/>
  <c r="R20" i="6"/>
  <c r="R21" i="6"/>
  <c r="R18" i="6"/>
  <c r="A11" i="18" l="1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6" i="18"/>
  <c r="A80" i="1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BG29" i="16" l="1"/>
  <c r="T29" i="16"/>
  <c r="S29" i="16"/>
  <c r="R29" i="16"/>
  <c r="Q29" i="16"/>
  <c r="A10" i="3" l="1"/>
  <c r="A11" i="3"/>
  <c r="AE14" i="3"/>
  <c r="AF14" i="3" s="1"/>
  <c r="U80" i="18" l="1"/>
  <c r="T8" i="5"/>
  <c r="T8" i="4"/>
  <c r="T10" i="4"/>
  <c r="T11" i="4"/>
  <c r="T12" i="4"/>
  <c r="T9" i="4"/>
  <c r="AF8" i="5" l="1"/>
  <c r="T49" i="5"/>
  <c r="T13" i="4"/>
  <c r="AE21" i="6"/>
  <c r="AF21" i="6" s="1"/>
  <c r="AE19" i="6"/>
  <c r="AF19" i="6" s="1"/>
  <c r="AE20" i="6"/>
  <c r="AF20" i="6" s="1"/>
  <c r="AE12" i="4"/>
  <c r="AF12" i="4" s="1"/>
  <c r="AE17" i="6"/>
  <c r="AE10" i="6"/>
  <c r="AE11" i="6"/>
  <c r="AE12" i="6"/>
  <c r="AE18" i="6"/>
  <c r="AE8" i="4"/>
  <c r="AF8" i="4" s="1"/>
  <c r="AE13" i="6"/>
  <c r="AE9" i="4"/>
  <c r="AF9" i="4" s="1"/>
  <c r="AE14" i="6"/>
  <c r="AE10" i="4"/>
  <c r="AF10" i="4" s="1"/>
  <c r="AE15" i="6"/>
  <c r="AE11" i="4"/>
  <c r="AF11" i="4" s="1"/>
  <c r="AE8" i="6"/>
  <c r="AE16" i="6"/>
  <c r="AE9" i="6"/>
  <c r="S19" i="7"/>
  <c r="S20" i="7"/>
  <c r="S21" i="7"/>
  <c r="S22" i="7"/>
  <c r="S23" i="7"/>
  <c r="Q30" i="16"/>
  <c r="S30" i="16" s="1"/>
  <c r="R30" i="16"/>
  <c r="T30" i="16"/>
  <c r="V30" i="16"/>
  <c r="Y30" i="16"/>
  <c r="AB30" i="16"/>
  <c r="A30" i="16"/>
  <c r="A9" i="5"/>
  <c r="A10" i="5"/>
  <c r="A8" i="5"/>
  <c r="A9" i="6"/>
  <c r="A10" i="6"/>
  <c r="A11" i="6"/>
  <c r="A12" i="6"/>
  <c r="A13" i="6"/>
  <c r="A14" i="6"/>
  <c r="A15" i="6"/>
  <c r="A16" i="6"/>
  <c r="A17" i="6"/>
  <c r="A18" i="6"/>
  <c r="A19" i="6"/>
  <c r="A21" i="6"/>
  <c r="AF49" i="5" l="1"/>
  <c r="E12" i="12" s="1"/>
  <c r="AF13" i="4"/>
  <c r="AC30" i="16"/>
  <c r="Z30" i="16"/>
  <c r="W30" i="16"/>
  <c r="U75" i="18" l="1"/>
  <c r="T23" i="16"/>
  <c r="R23" i="16"/>
  <c r="Q23" i="16"/>
  <c r="S23" i="16" s="1"/>
  <c r="U74" i="18" l="1"/>
  <c r="U73" i="18"/>
  <c r="A8" i="18"/>
  <c r="A9" i="18"/>
  <c r="A10" i="18"/>
  <c r="U72" i="18" l="1"/>
  <c r="U71" i="18"/>
  <c r="BG18" i="16" l="1"/>
  <c r="R28" i="16"/>
  <c r="T28" i="16"/>
  <c r="Q28" i="16"/>
  <c r="Q21" i="16"/>
  <c r="Q20" i="16"/>
  <c r="Q19" i="16"/>
  <c r="Q18" i="16"/>
  <c r="Q17" i="16"/>
  <c r="Q16" i="16"/>
  <c r="Q15" i="16"/>
  <c r="Q14" i="16"/>
  <c r="Q13" i="16"/>
  <c r="Q12" i="16"/>
  <c r="Q11" i="16"/>
  <c r="Q10" i="16"/>
  <c r="Q9" i="16"/>
  <c r="Q18" i="3"/>
  <c r="Q13" i="3"/>
  <c r="R13" i="3"/>
  <c r="R12" i="3"/>
  <c r="R11" i="3"/>
  <c r="R10" i="3"/>
  <c r="R9" i="3"/>
  <c r="T18" i="3"/>
  <c r="T13" i="3"/>
  <c r="T12" i="3"/>
  <c r="T11" i="3"/>
  <c r="BG17" i="16" l="1"/>
  <c r="BG30" i="16"/>
  <c r="BH30" i="16" s="1"/>
  <c r="BG23" i="16"/>
  <c r="BH23" i="16" s="1"/>
  <c r="BG16" i="16"/>
  <c r="BG15" i="16"/>
  <c r="BG14" i="16"/>
  <c r="BG13" i="16"/>
  <c r="BG12" i="16"/>
  <c r="BG11" i="16"/>
  <c r="BG10" i="16"/>
  <c r="BG9" i="16"/>
  <c r="BG8" i="16"/>
  <c r="BG28" i="16"/>
  <c r="BG21" i="16"/>
  <c r="BG20" i="16"/>
  <c r="BG19" i="16"/>
  <c r="AE8" i="3"/>
  <c r="AE10" i="3"/>
  <c r="AE11" i="3"/>
  <c r="AE13" i="3"/>
  <c r="AE18" i="3"/>
  <c r="AF18" i="3" s="1"/>
  <c r="AE9" i="3"/>
  <c r="AE12" i="3"/>
  <c r="AF18" i="6" l="1"/>
  <c r="Q18" i="6"/>
  <c r="S18" i="6" s="1"/>
  <c r="S18" i="3" l="1"/>
  <c r="U46" i="8" l="1"/>
  <c r="U47" i="8"/>
  <c r="U70" i="18" l="1"/>
  <c r="AG6" i="18" l="1"/>
  <c r="AG6" i="8"/>
  <c r="AF77" i="18" l="1"/>
  <c r="AG77" i="18" s="1"/>
  <c r="AF78" i="18"/>
  <c r="AG78" i="18" s="1"/>
  <c r="AF79" i="18"/>
  <c r="AG79" i="18" s="1"/>
  <c r="AF36" i="8"/>
  <c r="AF8" i="8"/>
  <c r="AF75" i="18"/>
  <c r="AG75" i="18" s="1"/>
  <c r="AF80" i="18"/>
  <c r="AG80" i="18" s="1"/>
  <c r="AF74" i="18"/>
  <c r="AG74" i="18" s="1"/>
  <c r="AF73" i="18"/>
  <c r="AG73" i="18" s="1"/>
  <c r="AF71" i="18"/>
  <c r="AG71" i="18" s="1"/>
  <c r="AF72" i="18"/>
  <c r="AG72" i="18" s="1"/>
  <c r="AF35" i="8"/>
  <c r="AF18" i="8"/>
  <c r="AF17" i="8"/>
  <c r="AF48" i="8"/>
  <c r="AF32" i="8"/>
  <c r="AF15" i="8"/>
  <c r="AF47" i="8"/>
  <c r="AF46" i="8"/>
  <c r="AF30" i="8"/>
  <c r="AF13" i="8"/>
  <c r="AF45" i="8"/>
  <c r="AF29" i="8"/>
  <c r="AF12" i="8"/>
  <c r="AF44" i="8"/>
  <c r="AF28" i="8"/>
  <c r="AF11" i="8"/>
  <c r="AF43" i="8"/>
  <c r="AF10" i="8"/>
  <c r="AF40" i="8"/>
  <c r="AF21" i="8"/>
  <c r="AF33" i="8"/>
  <c r="AF31" i="8"/>
  <c r="AF42" i="8"/>
  <c r="AF27" i="8"/>
  <c r="AF9" i="8"/>
  <c r="AF26" i="8"/>
  <c r="AF41" i="8"/>
  <c r="AF24" i="8"/>
  <c r="AF39" i="8"/>
  <c r="AF22" i="8"/>
  <c r="AF19" i="8"/>
  <c r="AF34" i="8"/>
  <c r="AF16" i="8"/>
  <c r="AF14" i="8"/>
  <c r="AF25" i="8"/>
  <c r="AF23" i="8"/>
  <c r="AF38" i="8"/>
  <c r="AF37" i="8"/>
  <c r="AF20" i="8"/>
  <c r="AF67" i="18"/>
  <c r="AF49" i="18"/>
  <c r="AF30" i="18"/>
  <c r="AF10" i="18"/>
  <c r="AF66" i="18"/>
  <c r="AF48" i="18"/>
  <c r="AF29" i="18"/>
  <c r="AF9" i="18"/>
  <c r="AF64" i="18"/>
  <c r="AF46" i="18"/>
  <c r="AF27" i="18"/>
  <c r="AF63" i="18"/>
  <c r="AF45" i="18"/>
  <c r="AF26" i="18"/>
  <c r="AF62" i="18"/>
  <c r="AF44" i="18"/>
  <c r="AF25" i="18"/>
  <c r="AF61" i="18"/>
  <c r="AF43" i="18"/>
  <c r="AF24" i="18"/>
  <c r="AF42" i="18"/>
  <c r="AF23" i="18"/>
  <c r="AF60" i="18"/>
  <c r="AF41" i="18"/>
  <c r="AF22" i="18"/>
  <c r="AF35" i="18"/>
  <c r="AF76" i="18"/>
  <c r="AF53" i="18"/>
  <c r="AF34" i="18"/>
  <c r="AF51" i="18"/>
  <c r="AF12" i="18"/>
  <c r="AF28" i="18"/>
  <c r="AF59" i="18"/>
  <c r="AF40" i="18"/>
  <c r="AF21" i="18"/>
  <c r="AF58" i="18"/>
  <c r="AF39" i="18"/>
  <c r="AF20" i="18"/>
  <c r="AF57" i="18"/>
  <c r="AF38" i="18"/>
  <c r="AF19" i="18"/>
  <c r="AF54" i="18"/>
  <c r="AF15" i="18"/>
  <c r="AF14" i="18"/>
  <c r="AF32" i="18"/>
  <c r="AF68" i="18"/>
  <c r="AF31" i="18"/>
  <c r="AF47" i="18"/>
  <c r="AF37" i="18"/>
  <c r="AF18" i="18"/>
  <c r="AF56" i="18"/>
  <c r="AF36" i="18"/>
  <c r="AF17" i="18"/>
  <c r="AF55" i="18"/>
  <c r="AF16" i="18"/>
  <c r="AF69" i="18"/>
  <c r="AF50" i="18"/>
  <c r="AF11" i="18"/>
  <c r="AF65" i="18"/>
  <c r="AF8" i="18"/>
  <c r="AF70" i="18"/>
  <c r="AG70" i="18" s="1"/>
  <c r="AF52" i="18"/>
  <c r="AF33" i="18"/>
  <c r="AF13" i="18"/>
  <c r="U76" i="18" l="1"/>
  <c r="AG76" i="18" l="1"/>
  <c r="AB28" i="16"/>
  <c r="Y28" i="16"/>
  <c r="V28" i="16"/>
  <c r="S28" i="16"/>
  <c r="AC28" i="16" l="1"/>
  <c r="BH28" i="16"/>
  <c r="W28" i="16"/>
  <c r="Z28" i="16"/>
  <c r="U69" i="18" l="1"/>
  <c r="AG69" i="18" l="1"/>
  <c r="AD6" i="18"/>
  <c r="AD6" i="8"/>
  <c r="AD6" i="7"/>
  <c r="AC6" i="6"/>
  <c r="AC6" i="4"/>
  <c r="AB13" i="3"/>
  <c r="AB12" i="3"/>
  <c r="AB11" i="3"/>
  <c r="AB10" i="3"/>
  <c r="AB9" i="3"/>
  <c r="AB8" i="3"/>
  <c r="U9" i="18" l="1"/>
  <c r="AA6" i="18"/>
  <c r="AA6" i="8" l="1"/>
  <c r="AA6" i="7"/>
  <c r="A9" i="3"/>
  <c r="Q15" i="6"/>
  <c r="S15" i="6" s="1"/>
  <c r="Z6" i="6"/>
  <c r="Z6" i="4"/>
  <c r="Y13" i="3"/>
  <c r="Y12" i="3"/>
  <c r="Y11" i="3"/>
  <c r="Y10" i="3"/>
  <c r="Y9" i="3"/>
  <c r="Y8" i="3"/>
  <c r="U48" i="8" l="1"/>
  <c r="U65" i="18"/>
  <c r="U66" i="18"/>
  <c r="U67" i="18"/>
  <c r="U68" i="18"/>
  <c r="U42" i="8"/>
  <c r="U43" i="8"/>
  <c r="U44" i="8"/>
  <c r="U45" i="8"/>
  <c r="AG65" i="18" l="1"/>
  <c r="T10" i="3"/>
  <c r="T9" i="3"/>
  <c r="T8" i="3"/>
  <c r="AG9" i="18"/>
  <c r="S8" i="18"/>
  <c r="U8" i="18"/>
  <c r="U64" i="18"/>
  <c r="U63" i="18"/>
  <c r="U62" i="18"/>
  <c r="U61" i="18"/>
  <c r="U60" i="18"/>
  <c r="U59" i="18"/>
  <c r="U58" i="18"/>
  <c r="U57" i="18"/>
  <c r="U56" i="18"/>
  <c r="AG56" i="18" s="1"/>
  <c r="U55" i="18"/>
  <c r="AG55" i="18" s="1"/>
  <c r="U54" i="18"/>
  <c r="U53" i="18"/>
  <c r="U52" i="18"/>
  <c r="U51" i="18"/>
  <c r="U50" i="18"/>
  <c r="U49" i="18"/>
  <c r="U48" i="18"/>
  <c r="AG48" i="18" s="1"/>
  <c r="U47" i="18"/>
  <c r="U46" i="18"/>
  <c r="U45" i="18"/>
  <c r="U44" i="18"/>
  <c r="U43" i="18"/>
  <c r="U42" i="18"/>
  <c r="U41" i="18"/>
  <c r="U40" i="18"/>
  <c r="U39" i="18"/>
  <c r="U38" i="18"/>
  <c r="U37" i="18"/>
  <c r="U36" i="18"/>
  <c r="U35" i="18"/>
  <c r="U34" i="18"/>
  <c r="U33" i="18"/>
  <c r="U32" i="18"/>
  <c r="AG32" i="18" s="1"/>
  <c r="U31" i="18"/>
  <c r="AG31" i="18" s="1"/>
  <c r="U30" i="18"/>
  <c r="U29" i="18"/>
  <c r="U28" i="18"/>
  <c r="U27" i="18"/>
  <c r="U26" i="18"/>
  <c r="U25" i="18"/>
  <c r="U24" i="18"/>
  <c r="AG24" i="18" s="1"/>
  <c r="U23" i="18"/>
  <c r="U22" i="18"/>
  <c r="U21" i="18"/>
  <c r="U20" i="18"/>
  <c r="U19" i="18"/>
  <c r="U18" i="18"/>
  <c r="U17" i="18"/>
  <c r="U16" i="18"/>
  <c r="U15" i="18"/>
  <c r="U14" i="18"/>
  <c r="U13" i="18"/>
  <c r="U12" i="18"/>
  <c r="U11" i="18"/>
  <c r="U10" i="18"/>
  <c r="U41" i="8"/>
  <c r="U40" i="8"/>
  <c r="U39" i="8"/>
  <c r="U38" i="8"/>
  <c r="U37" i="8"/>
  <c r="U36" i="8"/>
  <c r="AG36" i="8" s="1"/>
  <c r="U35" i="8"/>
  <c r="U34" i="8"/>
  <c r="AG34" i="8" s="1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T19" i="3" l="1"/>
  <c r="U81" i="18"/>
  <c r="AG26" i="18"/>
  <c r="AG50" i="18"/>
  <c r="AG43" i="18"/>
  <c r="AG20" i="18"/>
  <c r="AG36" i="18"/>
  <c r="AG44" i="18"/>
  <c r="AG60" i="18"/>
  <c r="AG21" i="18"/>
  <c r="AG14" i="18"/>
  <c r="AG38" i="18"/>
  <c r="AG61" i="18"/>
  <c r="AG10" i="18"/>
  <c r="AG22" i="18"/>
  <c r="AG34" i="18"/>
  <c r="AG46" i="18"/>
  <c r="AG58" i="18"/>
  <c r="AG63" i="18"/>
  <c r="AG18" i="18"/>
  <c r="AG30" i="18"/>
  <c r="AG42" i="18"/>
  <c r="AG54" i="18"/>
  <c r="AG33" i="18"/>
  <c r="AG45" i="18"/>
  <c r="AG57" i="18"/>
  <c r="AG23" i="18"/>
  <c r="AG35" i="18"/>
  <c r="AG47" i="18"/>
  <c r="AG59" i="18"/>
  <c r="AG12" i="18"/>
  <c r="AG13" i="18"/>
  <c r="AG25" i="18"/>
  <c r="AG37" i="18"/>
  <c r="AG49" i="18"/>
  <c r="AG15" i="18"/>
  <c r="AG27" i="18"/>
  <c r="AG39" i="18"/>
  <c r="AG51" i="18"/>
  <c r="AG62" i="18"/>
  <c r="AG19" i="18"/>
  <c r="AG16" i="18"/>
  <c r="AG28" i="18"/>
  <c r="AG40" i="18"/>
  <c r="AG52" i="18"/>
  <c r="AG17" i="18"/>
  <c r="AG29" i="18"/>
  <c r="AG41" i="18"/>
  <c r="AG53" i="18"/>
  <c r="AG64" i="18"/>
  <c r="AG11" i="18"/>
  <c r="X6" i="8" l="1"/>
  <c r="W6" i="4"/>
  <c r="W6" i="6"/>
  <c r="X6" i="18"/>
  <c r="X6" i="7"/>
  <c r="V11" i="3"/>
  <c r="V8" i="3"/>
  <c r="V9" i="3"/>
  <c r="V10" i="3"/>
  <c r="V12" i="3"/>
  <c r="V13" i="3"/>
  <c r="AG47" i="8" l="1"/>
  <c r="AG46" i="8"/>
  <c r="AG8" i="18"/>
  <c r="AG81" i="18" s="1"/>
  <c r="E15" i="12" s="1"/>
  <c r="AG43" i="8"/>
  <c r="AG48" i="8"/>
  <c r="AG42" i="8"/>
  <c r="AG45" i="8"/>
  <c r="AG44" i="8"/>
  <c r="AG15" i="7"/>
  <c r="AG12" i="7"/>
  <c r="AG8" i="7"/>
  <c r="AG17" i="7"/>
  <c r="AG11" i="7"/>
  <c r="AG16" i="7"/>
  <c r="AG14" i="7"/>
  <c r="AG10" i="7"/>
  <c r="AG18" i="7"/>
  <c r="AG13" i="7"/>
  <c r="AG9" i="7"/>
  <c r="AC76" i="18"/>
  <c r="AD76" i="18" s="1"/>
  <c r="Z76" i="18"/>
  <c r="AA76" i="18" s="1"/>
  <c r="W76" i="18"/>
  <c r="X76" i="18" s="1"/>
  <c r="AC69" i="18"/>
  <c r="AD69" i="18" s="1"/>
  <c r="Z69" i="18"/>
  <c r="AA69" i="18" s="1"/>
  <c r="W69" i="18"/>
  <c r="X69" i="18" s="1"/>
  <c r="AC65" i="18"/>
  <c r="AD65" i="18" s="1"/>
  <c r="AC61" i="18"/>
  <c r="AD61" i="18" s="1"/>
  <c r="AC58" i="18"/>
  <c r="AD58" i="18" s="1"/>
  <c r="AC55" i="18"/>
  <c r="AD55" i="18" s="1"/>
  <c r="AC51" i="18"/>
  <c r="AD51" i="18" s="1"/>
  <c r="AC47" i="18"/>
  <c r="AD47" i="18" s="1"/>
  <c r="AC43" i="18"/>
  <c r="AD43" i="18" s="1"/>
  <c r="AC39" i="18"/>
  <c r="AD39" i="18" s="1"/>
  <c r="AC35" i="18"/>
  <c r="AD35" i="18" s="1"/>
  <c r="AC32" i="18"/>
  <c r="AD32" i="18" s="1"/>
  <c r="AC28" i="18"/>
  <c r="AD28" i="18" s="1"/>
  <c r="AC24" i="18"/>
  <c r="AD24" i="18" s="1"/>
  <c r="AC20" i="18"/>
  <c r="AD20" i="18" s="1"/>
  <c r="AC16" i="18"/>
  <c r="AD16" i="18" s="1"/>
  <c r="AC12" i="18"/>
  <c r="AD12" i="18" s="1"/>
  <c r="AC8" i="18"/>
  <c r="AD8" i="18" s="1"/>
  <c r="AC68" i="18"/>
  <c r="AD68" i="18" s="1"/>
  <c r="AC64" i="18"/>
  <c r="AD64" i="18" s="1"/>
  <c r="AC57" i="18"/>
  <c r="AD57" i="18" s="1"/>
  <c r="AC54" i="18"/>
  <c r="AD54" i="18" s="1"/>
  <c r="AC50" i="18"/>
  <c r="AD50" i="18" s="1"/>
  <c r="AC46" i="18"/>
  <c r="AD46" i="18" s="1"/>
  <c r="AC42" i="18"/>
  <c r="AD42" i="18" s="1"/>
  <c r="AC38" i="18"/>
  <c r="AD38" i="18" s="1"/>
  <c r="AC31" i="18"/>
  <c r="AC27" i="18"/>
  <c r="AD27" i="18" s="1"/>
  <c r="AC23" i="18"/>
  <c r="AD23" i="18" s="1"/>
  <c r="AC19" i="18"/>
  <c r="AD19" i="18" s="1"/>
  <c r="AC15" i="18"/>
  <c r="AD15" i="18" s="1"/>
  <c r="AC11" i="18"/>
  <c r="AD11" i="18" s="1"/>
  <c r="AC67" i="18"/>
  <c r="AD67" i="18" s="1"/>
  <c r="AC63" i="18"/>
  <c r="AD63" i="18" s="1"/>
  <c r="AC60" i="18"/>
  <c r="AD60" i="18" s="1"/>
  <c r="AC53" i="18"/>
  <c r="AD53" i="18" s="1"/>
  <c r="AC49" i="18"/>
  <c r="AD49" i="18" s="1"/>
  <c r="AC45" i="18"/>
  <c r="AD45" i="18" s="1"/>
  <c r="AC41" i="18"/>
  <c r="AD41" i="18" s="1"/>
  <c r="AC37" i="18"/>
  <c r="AD37" i="18" s="1"/>
  <c r="AC34" i="18"/>
  <c r="AD34" i="18" s="1"/>
  <c r="AC30" i="18"/>
  <c r="AD30" i="18" s="1"/>
  <c r="AC26" i="18"/>
  <c r="AD26" i="18" s="1"/>
  <c r="AC22" i="18"/>
  <c r="AD22" i="18" s="1"/>
  <c r="AC18" i="18"/>
  <c r="AD18" i="18" s="1"/>
  <c r="AC14" i="18"/>
  <c r="AD14" i="18" s="1"/>
  <c r="AC10" i="18"/>
  <c r="AD10" i="18" s="1"/>
  <c r="AC66" i="18"/>
  <c r="AD66" i="18" s="1"/>
  <c r="AC62" i="18"/>
  <c r="AD62" i="18" s="1"/>
  <c r="AC59" i="18"/>
  <c r="AD59" i="18" s="1"/>
  <c r="AC56" i="18"/>
  <c r="AD56" i="18" s="1"/>
  <c r="AC52" i="18"/>
  <c r="AD52" i="18" s="1"/>
  <c r="AC48" i="18"/>
  <c r="AD48" i="18" s="1"/>
  <c r="AC44" i="18"/>
  <c r="AD44" i="18" s="1"/>
  <c r="AC40" i="18"/>
  <c r="AD40" i="18" s="1"/>
  <c r="AC36" i="18"/>
  <c r="AD36" i="18" s="1"/>
  <c r="AC33" i="18"/>
  <c r="AD33" i="18" s="1"/>
  <c r="AC29" i="18"/>
  <c r="AD29" i="18" s="1"/>
  <c r="AC25" i="18"/>
  <c r="AD25" i="18" s="1"/>
  <c r="AC21" i="18"/>
  <c r="AD21" i="18" s="1"/>
  <c r="AC17" i="18"/>
  <c r="AD17" i="18" s="1"/>
  <c r="AC13" i="18"/>
  <c r="AC9" i="18"/>
  <c r="AD9" i="18" s="1"/>
  <c r="AC43" i="8"/>
  <c r="AD43" i="8" s="1"/>
  <c r="AC38" i="8"/>
  <c r="AC35" i="8"/>
  <c r="AC31" i="8"/>
  <c r="AC25" i="8"/>
  <c r="AC21" i="8"/>
  <c r="AC18" i="8"/>
  <c r="AC14" i="8"/>
  <c r="AC10" i="8"/>
  <c r="AC48" i="8"/>
  <c r="AD48" i="8" s="1"/>
  <c r="AC42" i="8"/>
  <c r="AD42" i="8" s="1"/>
  <c r="AC40" i="8"/>
  <c r="AC37" i="8"/>
  <c r="AC34" i="8"/>
  <c r="AC30" i="8"/>
  <c r="AC27" i="8"/>
  <c r="AC24" i="8"/>
  <c r="AC20" i="8"/>
  <c r="AC17" i="8"/>
  <c r="AC13" i="8"/>
  <c r="AC9" i="8"/>
  <c r="AC45" i="8"/>
  <c r="AD45" i="8" s="1"/>
  <c r="AC39" i="8"/>
  <c r="AC36" i="8"/>
  <c r="AC33" i="8"/>
  <c r="AC29" i="8"/>
  <c r="AC26" i="8"/>
  <c r="AC23" i="8"/>
  <c r="AC19" i="8"/>
  <c r="AC16" i="8"/>
  <c r="AC12" i="8"/>
  <c r="AC8" i="8"/>
  <c r="AC44" i="8"/>
  <c r="AD44" i="8" s="1"/>
  <c r="AC41" i="8"/>
  <c r="AC32" i="8"/>
  <c r="AC28" i="8"/>
  <c r="AC22" i="8"/>
  <c r="AC15" i="8"/>
  <c r="AC11" i="8"/>
  <c r="AB21" i="6"/>
  <c r="AC21" i="6" s="1"/>
  <c r="AB15" i="6"/>
  <c r="AB11" i="6"/>
  <c r="AB17" i="6"/>
  <c r="AB14" i="6"/>
  <c r="AB10" i="6"/>
  <c r="AB13" i="6"/>
  <c r="AB9" i="6"/>
  <c r="AB16" i="6"/>
  <c r="AB12" i="6"/>
  <c r="AB8" i="6"/>
  <c r="Z65" i="18"/>
  <c r="AA65" i="18" s="1"/>
  <c r="Z61" i="18"/>
  <c r="AA61" i="18" s="1"/>
  <c r="Z58" i="18"/>
  <c r="AA58" i="18" s="1"/>
  <c r="Z55" i="18"/>
  <c r="AA55" i="18" s="1"/>
  <c r="Z51" i="18"/>
  <c r="AA51" i="18" s="1"/>
  <c r="Z47" i="18"/>
  <c r="AA47" i="18" s="1"/>
  <c r="Z43" i="18"/>
  <c r="AA43" i="18" s="1"/>
  <c r="Z39" i="18"/>
  <c r="AA39" i="18" s="1"/>
  <c r="Z35" i="18"/>
  <c r="AA35" i="18" s="1"/>
  <c r="Z32" i="18"/>
  <c r="AA32" i="18" s="1"/>
  <c r="Z28" i="18"/>
  <c r="AA28" i="18" s="1"/>
  <c r="Z20" i="18"/>
  <c r="AA20" i="18" s="1"/>
  <c r="Z16" i="18"/>
  <c r="AA16" i="18" s="1"/>
  <c r="Z8" i="18"/>
  <c r="AA8" i="18" s="1"/>
  <c r="Z68" i="18"/>
  <c r="AA68" i="18" s="1"/>
  <c r="Z64" i="18"/>
  <c r="AA64" i="18" s="1"/>
  <c r="Z57" i="18"/>
  <c r="AA57" i="18" s="1"/>
  <c r="Z54" i="18"/>
  <c r="AA54" i="18" s="1"/>
  <c r="Z50" i="18"/>
  <c r="AA50" i="18" s="1"/>
  <c r="Z46" i="18"/>
  <c r="AA46" i="18" s="1"/>
  <c r="Z42" i="18"/>
  <c r="AA42" i="18" s="1"/>
  <c r="Z38" i="18"/>
  <c r="AA38" i="18" s="1"/>
  <c r="Z31" i="18"/>
  <c r="AA31" i="18" s="1"/>
  <c r="Z27" i="18"/>
  <c r="AA27" i="18" s="1"/>
  <c r="Z23" i="18"/>
  <c r="AA23" i="18" s="1"/>
  <c r="Z19" i="18"/>
  <c r="AA19" i="18" s="1"/>
  <c r="Z15" i="18"/>
  <c r="AA15" i="18" s="1"/>
  <c r="Z11" i="18"/>
  <c r="AA11" i="18" s="1"/>
  <c r="Z67" i="18"/>
  <c r="AA67" i="18" s="1"/>
  <c r="Z63" i="18"/>
  <c r="AA63" i="18" s="1"/>
  <c r="Z60" i="18"/>
  <c r="AA60" i="18" s="1"/>
  <c r="Z53" i="18"/>
  <c r="AA53" i="18" s="1"/>
  <c r="Z49" i="18"/>
  <c r="AA49" i="18" s="1"/>
  <c r="Z45" i="18"/>
  <c r="AA45" i="18" s="1"/>
  <c r="Z41" i="18"/>
  <c r="AA41" i="18" s="1"/>
  <c r="Z37" i="18"/>
  <c r="AA37" i="18" s="1"/>
  <c r="Z34" i="18"/>
  <c r="AA34" i="18" s="1"/>
  <c r="Z30" i="18"/>
  <c r="AA30" i="18" s="1"/>
  <c r="Z26" i="18"/>
  <c r="AA26" i="18" s="1"/>
  <c r="Z22" i="18"/>
  <c r="AA22" i="18" s="1"/>
  <c r="Z18" i="18"/>
  <c r="AA18" i="18" s="1"/>
  <c r="Z14" i="18"/>
  <c r="AA14" i="18" s="1"/>
  <c r="Z10" i="18"/>
  <c r="AA10" i="18" s="1"/>
  <c r="Z66" i="18"/>
  <c r="AA66" i="18" s="1"/>
  <c r="Z62" i="18"/>
  <c r="AA62" i="18" s="1"/>
  <c r="Z59" i="18"/>
  <c r="AA59" i="18" s="1"/>
  <c r="Z56" i="18"/>
  <c r="AA56" i="18" s="1"/>
  <c r="Z52" i="18"/>
  <c r="AA52" i="18" s="1"/>
  <c r="Z48" i="18"/>
  <c r="AA48" i="18" s="1"/>
  <c r="Z44" i="18"/>
  <c r="AA44" i="18" s="1"/>
  <c r="Z40" i="18"/>
  <c r="AA40" i="18" s="1"/>
  <c r="Z36" i="18"/>
  <c r="AA36" i="18" s="1"/>
  <c r="Z33" i="18"/>
  <c r="AA33" i="18" s="1"/>
  <c r="Z29" i="18"/>
  <c r="AA29" i="18" s="1"/>
  <c r="Z25" i="18"/>
  <c r="AA25" i="18" s="1"/>
  <c r="Z21" i="18"/>
  <c r="AA21" i="18" s="1"/>
  <c r="Z17" i="18"/>
  <c r="AA17" i="18" s="1"/>
  <c r="Z13" i="18"/>
  <c r="AA13" i="18" s="1"/>
  <c r="Z9" i="18"/>
  <c r="AA9" i="18" s="1"/>
  <c r="Z24" i="18"/>
  <c r="AA24" i="18" s="1"/>
  <c r="Z12" i="18"/>
  <c r="AA12" i="18" s="1"/>
  <c r="W48" i="8"/>
  <c r="X48" i="8" s="1"/>
  <c r="Z43" i="8"/>
  <c r="AA43" i="8" s="1"/>
  <c r="Z38" i="8"/>
  <c r="Z35" i="8"/>
  <c r="Z31" i="8"/>
  <c r="Z25" i="8"/>
  <c r="Z21" i="8"/>
  <c r="Z18" i="8"/>
  <c r="Z14" i="8"/>
  <c r="Z10" i="8"/>
  <c r="Z28" i="8"/>
  <c r="Z44" i="8"/>
  <c r="AA44" i="8" s="1"/>
  <c r="Z15" i="8"/>
  <c r="Z48" i="8"/>
  <c r="AA48" i="8" s="1"/>
  <c r="Z42" i="8"/>
  <c r="AA42" i="8" s="1"/>
  <c r="Z40" i="8"/>
  <c r="Z37" i="8"/>
  <c r="Z34" i="8"/>
  <c r="Z30" i="8"/>
  <c r="Z27" i="8"/>
  <c r="Z24" i="8"/>
  <c r="Z20" i="8"/>
  <c r="Z17" i="8"/>
  <c r="Z13" i="8"/>
  <c r="Z9" i="8"/>
  <c r="Z11" i="8"/>
  <c r="Z45" i="8"/>
  <c r="AA45" i="8" s="1"/>
  <c r="Z39" i="8"/>
  <c r="Z36" i="8"/>
  <c r="Z33" i="8"/>
  <c r="Z29" i="8"/>
  <c r="Z26" i="8"/>
  <c r="Z23" i="8"/>
  <c r="Z19" i="8"/>
  <c r="Z16" i="8"/>
  <c r="Z12" i="8"/>
  <c r="Z8" i="8"/>
  <c r="Z41" i="8"/>
  <c r="Z32" i="8"/>
  <c r="Z22" i="8"/>
  <c r="V21" i="6"/>
  <c r="W21" i="6" s="1"/>
  <c r="Y21" i="6"/>
  <c r="Z21" i="6" s="1"/>
  <c r="Y15" i="6"/>
  <c r="Y11" i="6"/>
  <c r="Y16" i="6"/>
  <c r="Y17" i="6"/>
  <c r="Y14" i="6"/>
  <c r="Y10" i="6"/>
  <c r="Y12" i="6"/>
  <c r="Y8" i="6"/>
  <c r="Y13" i="6"/>
  <c r="Y9" i="6"/>
  <c r="W68" i="18"/>
  <c r="X68" i="18" s="1"/>
  <c r="W65" i="18"/>
  <c r="X65" i="18" s="1"/>
  <c r="W67" i="18"/>
  <c r="X67" i="18" s="1"/>
  <c r="W66" i="18"/>
  <c r="X66" i="18" s="1"/>
  <c r="W42" i="8"/>
  <c r="X42" i="8" s="1"/>
  <c r="W45" i="8"/>
  <c r="X45" i="8" s="1"/>
  <c r="W43" i="8"/>
  <c r="X43" i="8" s="1"/>
  <c r="W44" i="8"/>
  <c r="X44" i="8" s="1"/>
  <c r="W62" i="18"/>
  <c r="W52" i="18"/>
  <c r="W40" i="18"/>
  <c r="W29" i="18"/>
  <c r="W17" i="18"/>
  <c r="W61" i="18"/>
  <c r="W51" i="18"/>
  <c r="W39" i="18"/>
  <c r="W28" i="18"/>
  <c r="W16" i="18"/>
  <c r="W50" i="18"/>
  <c r="W38" i="18"/>
  <c r="W27" i="18"/>
  <c r="W15" i="18"/>
  <c r="W60" i="18"/>
  <c r="W49" i="18"/>
  <c r="W37" i="18"/>
  <c r="W26" i="18"/>
  <c r="W14" i="18"/>
  <c r="W59" i="18"/>
  <c r="W48" i="18"/>
  <c r="W36" i="18"/>
  <c r="W25" i="18"/>
  <c r="W13" i="18"/>
  <c r="W58" i="18"/>
  <c r="W47" i="18"/>
  <c r="W35" i="18"/>
  <c r="W24" i="18"/>
  <c r="W12" i="18"/>
  <c r="W57" i="18"/>
  <c r="W46" i="18"/>
  <c r="W23" i="18"/>
  <c r="W11" i="18"/>
  <c r="W45" i="18"/>
  <c r="W34" i="18"/>
  <c r="W22" i="18"/>
  <c r="W10" i="18"/>
  <c r="W8" i="18"/>
  <c r="W56" i="18"/>
  <c r="W44" i="18"/>
  <c r="W33" i="18"/>
  <c r="W21" i="18"/>
  <c r="W9" i="18"/>
  <c r="W63" i="18"/>
  <c r="W30" i="18"/>
  <c r="W55" i="18"/>
  <c r="W43" i="18"/>
  <c r="W32" i="18"/>
  <c r="W20" i="18"/>
  <c r="W53" i="18"/>
  <c r="W41" i="18"/>
  <c r="W18" i="18"/>
  <c r="W64" i="18"/>
  <c r="W54" i="18"/>
  <c r="W42" i="18"/>
  <c r="W31" i="18"/>
  <c r="W19" i="18"/>
  <c r="V17" i="6"/>
  <c r="V11" i="6"/>
  <c r="V12" i="6"/>
  <c r="V13" i="6"/>
  <c r="V14" i="6"/>
  <c r="V15" i="6"/>
  <c r="V16" i="6"/>
  <c r="V8" i="6"/>
  <c r="V9" i="6"/>
  <c r="V10" i="6"/>
  <c r="W34" i="8"/>
  <c r="W27" i="8"/>
  <c r="W18" i="8"/>
  <c r="W40" i="8"/>
  <c r="W33" i="8"/>
  <c r="W26" i="8"/>
  <c r="W17" i="8"/>
  <c r="W25" i="8"/>
  <c r="W15" i="8"/>
  <c r="W38" i="8"/>
  <c r="W32" i="8"/>
  <c r="W24" i="8"/>
  <c r="W14" i="8"/>
  <c r="W13" i="8"/>
  <c r="W30" i="8"/>
  <c r="W12" i="8"/>
  <c r="W21" i="8"/>
  <c r="W37" i="8"/>
  <c r="W31" i="8"/>
  <c r="W23" i="8"/>
  <c r="W22" i="8"/>
  <c r="W36" i="8"/>
  <c r="W29" i="8"/>
  <c r="W11" i="8"/>
  <c r="W10" i="8"/>
  <c r="W41" i="8"/>
  <c r="W19" i="8"/>
  <c r="W39" i="8"/>
  <c r="W16" i="8"/>
  <c r="W20" i="8"/>
  <c r="W9" i="8"/>
  <c r="W28" i="8"/>
  <c r="W35" i="8"/>
  <c r="W8" i="8"/>
  <c r="AG19" i="7" l="1"/>
  <c r="E14" i="12"/>
  <c r="AD19" i="7"/>
  <c r="AA19" i="7"/>
  <c r="X19" i="7"/>
  <c r="X38" i="18"/>
  <c r="X27" i="18"/>
  <c r="R8" i="18"/>
  <c r="T8" i="18" s="1"/>
  <c r="Q2" i="18"/>
  <c r="X24" i="18" l="1"/>
  <c r="X17" i="18"/>
  <c r="X22" i="18"/>
  <c r="X45" i="18"/>
  <c r="X55" i="18"/>
  <c r="X48" i="18"/>
  <c r="X37" i="18"/>
  <c r="X51" i="18"/>
  <c r="X16" i="18"/>
  <c r="X46" i="18"/>
  <c r="X32" i="18"/>
  <c r="X42" i="18"/>
  <c r="X56" i="18"/>
  <c r="X49" i="18"/>
  <c r="X26" i="18"/>
  <c r="X20" i="18"/>
  <c r="X31" i="18"/>
  <c r="X13" i="18"/>
  <c r="X39" i="18"/>
  <c r="X9" i="18"/>
  <c r="X12" i="18"/>
  <c r="X33" i="18"/>
  <c r="X63" i="18"/>
  <c r="X57" i="18"/>
  <c r="X14" i="18"/>
  <c r="X52" i="18"/>
  <c r="X21" i="18"/>
  <c r="X53" i="18"/>
  <c r="X44" i="18"/>
  <c r="X11" i="18"/>
  <c r="X40" i="18"/>
  <c r="X62" i="18"/>
  <c r="X25" i="18"/>
  <c r="X43" i="18"/>
  <c r="X58" i="18"/>
  <c r="X36" i="18"/>
  <c r="X54" i="18"/>
  <c r="X15" i="18"/>
  <c r="X8" i="18"/>
  <c r="X10" i="18"/>
  <c r="X50" i="18"/>
  <c r="X61" i="18"/>
  <c r="X19" i="18"/>
  <c r="X28" i="18" l="1"/>
  <c r="X41" i="18"/>
  <c r="X18" i="18"/>
  <c r="X23" i="18"/>
  <c r="X29" i="18"/>
  <c r="X47" i="18"/>
  <c r="X34" i="18"/>
  <c r="X59" i="18"/>
  <c r="X64" i="18"/>
  <c r="X60" i="18"/>
  <c r="X35" i="18"/>
  <c r="X30" i="18"/>
  <c r="Q17" i="6" l="1"/>
  <c r="S17" i="6" s="1"/>
  <c r="R17" i="6"/>
  <c r="AF17" i="6" s="1"/>
  <c r="W17" i="6" l="1"/>
  <c r="AC17" i="6"/>
  <c r="Z17" i="6"/>
  <c r="BD21" i="16"/>
  <c r="BD20" i="16"/>
  <c r="BD19" i="16"/>
  <c r="BD18" i="16"/>
  <c r="BD17" i="16"/>
  <c r="BD16" i="16"/>
  <c r="BD15" i="16"/>
  <c r="BD14" i="16"/>
  <c r="BD13" i="16"/>
  <c r="BD12" i="16"/>
  <c r="BD11" i="16"/>
  <c r="BD10" i="16"/>
  <c r="BD9" i="16"/>
  <c r="BD8" i="16"/>
  <c r="BA8" i="16" l="1"/>
  <c r="BA9" i="16"/>
  <c r="BA10" i="16"/>
  <c r="BA11" i="16"/>
  <c r="BA12" i="16"/>
  <c r="BA13" i="16"/>
  <c r="BA14" i="16"/>
  <c r="BA15" i="16"/>
  <c r="BA16" i="16"/>
  <c r="BA17" i="16"/>
  <c r="BA18" i="16"/>
  <c r="BA19" i="16"/>
  <c r="BA20" i="16"/>
  <c r="BA21" i="16"/>
  <c r="AX8" i="16" l="1"/>
  <c r="AX9" i="16"/>
  <c r="AX10" i="16"/>
  <c r="AX11" i="16"/>
  <c r="AX12" i="16"/>
  <c r="AX13" i="16"/>
  <c r="AX14" i="16"/>
  <c r="AX15" i="16"/>
  <c r="AX16" i="16"/>
  <c r="AX17" i="16"/>
  <c r="AX18" i="16"/>
  <c r="AX19" i="16"/>
  <c r="AX20" i="16"/>
  <c r="AX21" i="16"/>
  <c r="AU21" i="16" l="1"/>
  <c r="T21" i="16"/>
  <c r="S21" i="16"/>
  <c r="R21" i="16"/>
  <c r="BH21" i="16" l="1"/>
  <c r="BE21" i="16"/>
  <c r="AV21" i="16"/>
  <c r="BB21" i="16"/>
  <c r="AY21" i="16"/>
  <c r="AU20" i="16" l="1"/>
  <c r="AU19" i="16"/>
  <c r="AU18" i="16"/>
  <c r="AU17" i="16"/>
  <c r="AU16" i="16"/>
  <c r="AU15" i="16"/>
  <c r="AU14" i="16"/>
  <c r="AU13" i="16"/>
  <c r="AU12" i="16"/>
  <c r="AU11" i="16"/>
  <c r="AU10" i="16"/>
  <c r="AU9" i="16"/>
  <c r="AU8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S20" i="16" l="1"/>
  <c r="R20" i="16"/>
  <c r="T20" i="16"/>
  <c r="V20" i="16"/>
  <c r="AI20" i="16"/>
  <c r="AL20" i="16"/>
  <c r="Q9" i="3"/>
  <c r="S9" i="3" s="1"/>
  <c r="Q10" i="3"/>
  <c r="S10" i="3" s="1"/>
  <c r="AF10" i="3"/>
  <c r="Q11" i="3"/>
  <c r="S11" i="3" s="1"/>
  <c r="AF11" i="3"/>
  <c r="Q12" i="3"/>
  <c r="S12" i="3" s="1"/>
  <c r="AF12" i="3"/>
  <c r="S13" i="3"/>
  <c r="AF8" i="3"/>
  <c r="R8" i="16"/>
  <c r="R9" i="16"/>
  <c r="R10" i="16"/>
  <c r="R11" i="16"/>
  <c r="R12" i="16"/>
  <c r="R13" i="16"/>
  <c r="R14" i="16"/>
  <c r="R15" i="16"/>
  <c r="R16" i="16"/>
  <c r="R17" i="16"/>
  <c r="R18" i="16"/>
  <c r="R19" i="16"/>
  <c r="AO11" i="16"/>
  <c r="AO14" i="16" s="1"/>
  <c r="AO18" i="16" s="1"/>
  <c r="AO10" i="16"/>
  <c r="AO13" i="16" s="1"/>
  <c r="AO9" i="16"/>
  <c r="AO8" i="16"/>
  <c r="T19" i="16"/>
  <c r="AI19" i="16"/>
  <c r="S19" i="16"/>
  <c r="AI18" i="16"/>
  <c r="T18" i="16"/>
  <c r="S18" i="16"/>
  <c r="T17" i="16"/>
  <c r="S17" i="16"/>
  <c r="T16" i="16"/>
  <c r="S16" i="16"/>
  <c r="T15" i="16"/>
  <c r="S15" i="16"/>
  <c r="T14" i="16"/>
  <c r="S14" i="16"/>
  <c r="T13" i="16"/>
  <c r="S13" i="16"/>
  <c r="T12" i="16"/>
  <c r="S12" i="16"/>
  <c r="T11" i="16"/>
  <c r="S11" i="16"/>
  <c r="T10" i="16"/>
  <c r="S10" i="16"/>
  <c r="A10" i="16"/>
  <c r="T9" i="16"/>
  <c r="S9" i="16"/>
  <c r="A9" i="16"/>
  <c r="Y11" i="16"/>
  <c r="T8" i="16"/>
  <c r="Q8" i="16"/>
  <c r="S8" i="16" s="1"/>
  <c r="A8" i="16"/>
  <c r="AL8" i="16"/>
  <c r="AL15" i="16" s="1"/>
  <c r="Y9" i="16"/>
  <c r="Y12" i="16" s="1"/>
  <c r="P2" i="16"/>
  <c r="T31" i="16" l="1"/>
  <c r="BH16" i="16"/>
  <c r="BH13" i="16"/>
  <c r="BH20" i="16"/>
  <c r="BH12" i="16"/>
  <c r="BH14" i="16"/>
  <c r="BH17" i="16"/>
  <c r="BH19" i="16"/>
  <c r="BH11" i="16"/>
  <c r="BH15" i="16"/>
  <c r="BH9" i="16"/>
  <c r="BH18" i="16"/>
  <c r="BH10" i="16"/>
  <c r="BH8" i="16"/>
  <c r="AC13" i="3"/>
  <c r="AF13" i="3"/>
  <c r="AC9" i="3"/>
  <c r="AF9" i="3"/>
  <c r="Z12" i="3"/>
  <c r="AC12" i="3"/>
  <c r="Z11" i="3"/>
  <c r="AC11" i="3"/>
  <c r="Z10" i="3"/>
  <c r="AC10" i="3"/>
  <c r="Z8" i="3"/>
  <c r="AC8" i="3"/>
  <c r="W9" i="3"/>
  <c r="Z9" i="3"/>
  <c r="W13" i="3"/>
  <c r="Z13" i="3"/>
  <c r="BE10" i="16"/>
  <c r="BE19" i="16"/>
  <c r="BE11" i="16"/>
  <c r="BE8" i="16"/>
  <c r="BE17" i="16"/>
  <c r="BE20" i="16"/>
  <c r="BE16" i="16"/>
  <c r="BE18" i="16"/>
  <c r="BE15" i="16"/>
  <c r="BE9" i="16"/>
  <c r="BE14" i="16"/>
  <c r="BE12" i="16"/>
  <c r="BE13" i="16"/>
  <c r="W10" i="3"/>
  <c r="W12" i="3"/>
  <c r="W11" i="3"/>
  <c r="BB18" i="16"/>
  <c r="AY18" i="16"/>
  <c r="BB17" i="16"/>
  <c r="AY17" i="16"/>
  <c r="BB20" i="16"/>
  <c r="AY20" i="16"/>
  <c r="BB19" i="16"/>
  <c r="AY19" i="16"/>
  <c r="BB14" i="16"/>
  <c r="AY14" i="16"/>
  <c r="BB13" i="16"/>
  <c r="AY13" i="16"/>
  <c r="BB11" i="16"/>
  <c r="AY11" i="16"/>
  <c r="BB15" i="16"/>
  <c r="AY15" i="16"/>
  <c r="BB12" i="16"/>
  <c r="AY12" i="16"/>
  <c r="BB10" i="16"/>
  <c r="AY10" i="16"/>
  <c r="BB16" i="16"/>
  <c r="AY16" i="16"/>
  <c r="BB9" i="16"/>
  <c r="AY9" i="16"/>
  <c r="BB8" i="16"/>
  <c r="AY8" i="16"/>
  <c r="AV12" i="16"/>
  <c r="AS19" i="16"/>
  <c r="AV19" i="16"/>
  <c r="AV11" i="16"/>
  <c r="AS18" i="16"/>
  <c r="AV18" i="16"/>
  <c r="AV10" i="16"/>
  <c r="AV17" i="16"/>
  <c r="AS9" i="16"/>
  <c r="AV9" i="16"/>
  <c r="AS16" i="16"/>
  <c r="AV16" i="16"/>
  <c r="AV8" i="16"/>
  <c r="AS15" i="16"/>
  <c r="AV15" i="16"/>
  <c r="AS20" i="16"/>
  <c r="AV20" i="16"/>
  <c r="AS14" i="16"/>
  <c r="AV14" i="16"/>
  <c r="AS13" i="16"/>
  <c r="AV13" i="16"/>
  <c r="AS8" i="16"/>
  <c r="AS11" i="16"/>
  <c r="AS10" i="16"/>
  <c r="AS12" i="16"/>
  <c r="AS17" i="16"/>
  <c r="W20" i="16"/>
  <c r="AM20" i="16"/>
  <c r="AJ20" i="16"/>
  <c r="AL9" i="16"/>
  <c r="AL12" i="16" s="1"/>
  <c r="AL16" i="16" s="1"/>
  <c r="Y14" i="16"/>
  <c r="AL14" i="16"/>
  <c r="Z9" i="16"/>
  <c r="AM8" i="16"/>
  <c r="AP13" i="16"/>
  <c r="AP10" i="16"/>
  <c r="V11" i="16"/>
  <c r="Y16" i="16"/>
  <c r="Z16" i="16" s="1"/>
  <c r="Z12" i="16"/>
  <c r="AO17" i="16"/>
  <c r="V8" i="16"/>
  <c r="V15" i="16" s="1"/>
  <c r="W15" i="16" s="1"/>
  <c r="AO12" i="16"/>
  <c r="AL11" i="16"/>
  <c r="Y10" i="16"/>
  <c r="Y13" i="16" s="1"/>
  <c r="Z13" i="16" s="1"/>
  <c r="Z11" i="16"/>
  <c r="Y8" i="16"/>
  <c r="Y15" i="16" s="1"/>
  <c r="V9" i="16"/>
  <c r="V12" i="16" s="1"/>
  <c r="V16" i="16" s="1"/>
  <c r="W16" i="16" s="1"/>
  <c r="AL10" i="16"/>
  <c r="AL13" i="16" s="1"/>
  <c r="AM15" i="16"/>
  <c r="V10" i="16"/>
  <c r="V13" i="16" s="1"/>
  <c r="W13" i="16" s="1"/>
  <c r="AF19" i="3" l="1"/>
  <c r="E9" i="12" s="1"/>
  <c r="BH31" i="16"/>
  <c r="AO16" i="16"/>
  <c r="AO15" i="16"/>
  <c r="AM14" i="16"/>
  <c r="AM9" i="16"/>
  <c r="AM16" i="16"/>
  <c r="AP8" i="16"/>
  <c r="AM12" i="16"/>
  <c r="W9" i="16"/>
  <c r="AL19" i="16"/>
  <c r="AP12" i="16"/>
  <c r="Z10" i="16"/>
  <c r="Z15" i="16"/>
  <c r="W12" i="16"/>
  <c r="W8" i="16"/>
  <c r="AM11" i="16"/>
  <c r="AL17" i="16"/>
  <c r="W10" i="16"/>
  <c r="W11" i="16"/>
  <c r="AM10" i="16"/>
  <c r="Z8" i="16"/>
  <c r="Z14" i="16"/>
  <c r="V14" i="16"/>
  <c r="Y17" i="16"/>
  <c r="Z17" i="16" s="1"/>
  <c r="AP11" i="16"/>
  <c r="AP9" i="16"/>
  <c r="AP14" i="16"/>
  <c r="V17" i="16"/>
  <c r="AP17" i="16"/>
  <c r="AM13" i="16"/>
  <c r="AP16" i="16" l="1"/>
  <c r="AO20" i="16"/>
  <c r="AP15" i="16"/>
  <c r="AO19" i="16"/>
  <c r="AP19" i="16" s="1"/>
  <c r="AM19" i="16"/>
  <c r="AJ19" i="16"/>
  <c r="V19" i="16"/>
  <c r="W19" i="16" s="1"/>
  <c r="AM17" i="16"/>
  <c r="AL18" i="16"/>
  <c r="AM18" i="16" s="1"/>
  <c r="AJ18" i="16"/>
  <c r="AP18" i="16"/>
  <c r="W17" i="16"/>
  <c r="V18" i="16"/>
  <c r="W18" i="16" s="1"/>
  <c r="W14" i="16"/>
  <c r="AG9" i="8" l="1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5" i="8"/>
  <c r="AG37" i="8"/>
  <c r="AG38" i="8"/>
  <c r="AG39" i="8"/>
  <c r="AG40" i="8"/>
  <c r="AG41" i="8"/>
  <c r="X21" i="8" l="1"/>
  <c r="AD21" i="8"/>
  <c r="AA21" i="8"/>
  <c r="X14" i="8"/>
  <c r="AD14" i="8"/>
  <c r="AA14" i="8"/>
  <c r="X36" i="8"/>
  <c r="AD36" i="8"/>
  <c r="AA36" i="8"/>
  <c r="X28" i="8"/>
  <c r="AA28" i="8"/>
  <c r="AD28" i="8"/>
  <c r="X34" i="8"/>
  <c r="AA34" i="8"/>
  <c r="AD34" i="8"/>
  <c r="X27" i="8"/>
  <c r="AD27" i="8"/>
  <c r="AA27" i="8"/>
  <c r="X20" i="8"/>
  <c r="AD20" i="8"/>
  <c r="AA20" i="8"/>
  <c r="X13" i="8"/>
  <c r="AA13" i="8"/>
  <c r="AD13" i="8"/>
  <c r="X16" i="8"/>
  <c r="AA16" i="8"/>
  <c r="AD16" i="8"/>
  <c r="X41" i="8"/>
  <c r="AA41" i="8"/>
  <c r="AD41" i="8"/>
  <c r="X26" i="8"/>
  <c r="AD26" i="8"/>
  <c r="AA26" i="8"/>
  <c r="X19" i="8"/>
  <c r="AD19" i="8"/>
  <c r="AA19" i="8"/>
  <c r="X12" i="8"/>
  <c r="AA12" i="8"/>
  <c r="AD12" i="8"/>
  <c r="X22" i="8"/>
  <c r="AA22" i="8"/>
  <c r="AD22" i="8"/>
  <c r="X40" i="8"/>
  <c r="AA40" i="8"/>
  <c r="AD40" i="8"/>
  <c r="X32" i="8"/>
  <c r="AD32" i="8"/>
  <c r="AA32" i="8"/>
  <c r="X11" i="8"/>
  <c r="AA11" i="8"/>
  <c r="AD11" i="8"/>
  <c r="X29" i="8"/>
  <c r="AA29" i="8"/>
  <c r="AD29" i="8"/>
  <c r="X35" i="8"/>
  <c r="AA35" i="8"/>
  <c r="AD35" i="8"/>
  <c r="X33" i="8"/>
  <c r="AD33" i="8"/>
  <c r="AA33" i="8"/>
  <c r="X38" i="8"/>
  <c r="AD38" i="8"/>
  <c r="AA38" i="8"/>
  <c r="X31" i="8"/>
  <c r="AD31" i="8"/>
  <c r="AA31" i="8"/>
  <c r="X25" i="8"/>
  <c r="AD25" i="8"/>
  <c r="AA25" i="8"/>
  <c r="X18" i="8"/>
  <c r="AD18" i="8"/>
  <c r="AA18" i="8"/>
  <c r="X10" i="8"/>
  <c r="AD10" i="8"/>
  <c r="AA10" i="8"/>
  <c r="X23" i="8"/>
  <c r="AA23" i="8"/>
  <c r="AD23" i="8"/>
  <c r="X15" i="8"/>
  <c r="AD15" i="8"/>
  <c r="AA15" i="8"/>
  <c r="X39" i="8"/>
  <c r="AD39" i="8"/>
  <c r="AA39" i="8"/>
  <c r="X37" i="8"/>
  <c r="AD37" i="8"/>
  <c r="AA37" i="8"/>
  <c r="X30" i="8"/>
  <c r="AA30" i="8"/>
  <c r="AD30" i="8"/>
  <c r="X24" i="8"/>
  <c r="AA24" i="8"/>
  <c r="AD24" i="8"/>
  <c r="X17" i="8"/>
  <c r="AA17" i="8"/>
  <c r="AD17" i="8"/>
  <c r="X9" i="8"/>
  <c r="AA9" i="8"/>
  <c r="AD9" i="8"/>
  <c r="L22" i="12" l="1"/>
  <c r="L18" i="12"/>
  <c r="L19" i="12" s="1"/>
  <c r="L23" i="12" l="1"/>
  <c r="F18" i="12" l="1"/>
  <c r="S6" i="5" l="1"/>
  <c r="U8" i="8" l="1"/>
  <c r="W8" i="3"/>
  <c r="U49" i="8" l="1"/>
  <c r="AG8" i="8"/>
  <c r="AG49" i="8" s="1"/>
  <c r="E16" i="12" s="1"/>
  <c r="AA8" i="8"/>
  <c r="AA49" i="8" s="1"/>
  <c r="AD8" i="8"/>
  <c r="AD49" i="8" s="1"/>
  <c r="Z19" i="3"/>
  <c r="AC19" i="3"/>
  <c r="X8" i="8"/>
  <c r="X49" i="8" s="1"/>
  <c r="W19" i="3"/>
  <c r="T5" i="5" l="1"/>
  <c r="C20" i="12" l="1"/>
  <c r="C22" i="12" s="1"/>
  <c r="A9" i="8" l="1"/>
  <c r="A8" i="8"/>
  <c r="Q2" i="8"/>
  <c r="A16" i="12" s="1"/>
  <c r="Q2" i="7"/>
  <c r="A14" i="12" s="1"/>
  <c r="R16" i="6" l="1"/>
  <c r="AF16" i="6" s="1"/>
  <c r="Q16" i="6"/>
  <c r="S16" i="6" s="1"/>
  <c r="R15" i="6"/>
  <c r="AF15" i="6" s="1"/>
  <c r="R14" i="6"/>
  <c r="AF14" i="6" s="1"/>
  <c r="Q14" i="6"/>
  <c r="S14" i="6" s="1"/>
  <c r="R13" i="6"/>
  <c r="AF13" i="6" s="1"/>
  <c r="Q13" i="6"/>
  <c r="S13" i="6" s="1"/>
  <c r="R12" i="6"/>
  <c r="AF12" i="6" s="1"/>
  <c r="Q12" i="6"/>
  <c r="S12" i="6" s="1"/>
  <c r="R11" i="6"/>
  <c r="AF11" i="6" s="1"/>
  <c r="Q11" i="6"/>
  <c r="S11" i="6" s="1"/>
  <c r="R10" i="6"/>
  <c r="AF10" i="6" s="1"/>
  <c r="Q10" i="6"/>
  <c r="S10" i="6" s="1"/>
  <c r="R9" i="6"/>
  <c r="AF9" i="6" s="1"/>
  <c r="Q9" i="6"/>
  <c r="S9" i="6" s="1"/>
  <c r="R8" i="6"/>
  <c r="AF8" i="6" s="1"/>
  <c r="Q8" i="6"/>
  <c r="S8" i="6" s="1"/>
  <c r="A8" i="6"/>
  <c r="P2" i="6"/>
  <c r="A13" i="12" s="1"/>
  <c r="P2" i="5"/>
  <c r="A12" i="12" s="1"/>
  <c r="P2" i="4"/>
  <c r="A11" i="12" s="1"/>
  <c r="S8" i="3"/>
  <c r="A8" i="3"/>
  <c r="A9" i="12"/>
  <c r="AF22" i="6" l="1"/>
  <c r="E13" i="12" s="1"/>
  <c r="W11" i="6"/>
  <c r="AC11" i="6"/>
  <c r="Z11" i="6"/>
  <c r="W14" i="6"/>
  <c r="AC14" i="6"/>
  <c r="Z14" i="6"/>
  <c r="W12" i="6"/>
  <c r="AC12" i="6"/>
  <c r="Z12" i="6"/>
  <c r="W15" i="6"/>
  <c r="AC15" i="6"/>
  <c r="Z15" i="6"/>
  <c r="W9" i="6"/>
  <c r="AC9" i="6"/>
  <c r="Z9" i="6"/>
  <c r="W10" i="6"/>
  <c r="Z10" i="6"/>
  <c r="AC10" i="6"/>
  <c r="W13" i="6"/>
  <c r="AC13" i="6"/>
  <c r="Z13" i="6"/>
  <c r="W8" i="6"/>
  <c r="AC8" i="6"/>
  <c r="Z8" i="6"/>
  <c r="W16" i="6"/>
  <c r="Z16" i="6"/>
  <c r="AC16" i="6"/>
  <c r="A10" i="12"/>
  <c r="A17" i="12" s="1"/>
  <c r="C16" i="12"/>
  <c r="D16" i="12"/>
  <c r="D14" i="12"/>
  <c r="C14" i="12"/>
  <c r="W22" i="6" l="1"/>
  <c r="Z22" i="6"/>
  <c r="AC22" i="6"/>
  <c r="E11" i="12"/>
  <c r="E17" i="12" s="1"/>
  <c r="E19" i="12" s="1"/>
  <c r="AC13" i="4"/>
  <c r="Z13" i="4"/>
  <c r="W13" i="4"/>
  <c r="F14" i="12"/>
  <c r="D9" i="12"/>
  <c r="F16" i="12"/>
  <c r="C9" i="12"/>
  <c r="C13" i="12"/>
  <c r="D13" i="12"/>
  <c r="C11" i="12"/>
  <c r="C12" i="12"/>
  <c r="D11" i="12"/>
  <c r="D12" i="12"/>
  <c r="F9" i="12" l="1"/>
  <c r="F11" i="12"/>
  <c r="F13" i="12"/>
  <c r="F12" i="12"/>
  <c r="I9" i="12" l="1"/>
  <c r="D10" i="12"/>
  <c r="D17" i="12" s="1"/>
  <c r="D19" i="12" l="1"/>
  <c r="H10" i="12"/>
  <c r="H11" i="12"/>
  <c r="H12" i="12"/>
  <c r="H14" i="12"/>
  <c r="H16" i="12"/>
  <c r="H13" i="12"/>
  <c r="H9" i="12"/>
  <c r="C10" i="12" l="1"/>
  <c r="F10" i="12" l="1"/>
  <c r="F17" i="12" s="1"/>
  <c r="C17" i="12"/>
  <c r="G10" i="12" s="1"/>
  <c r="F19" i="12" l="1"/>
  <c r="L24" i="12"/>
  <c r="G13" i="12"/>
  <c r="G11" i="12"/>
  <c r="G12" i="12"/>
  <c r="G9" i="12"/>
  <c r="C19" i="12"/>
  <c r="G17" i="12"/>
  <c r="G16" i="12"/>
  <c r="G14" i="12"/>
  <c r="AP20" i="16" l="1"/>
  <c r="I13" i="12"/>
  <c r="I12" i="12" a="1"/>
  <c r="I12" i="12" s="1"/>
  <c r="I10" i="12"/>
  <c r="I16" i="12"/>
  <c r="I14" i="12"/>
  <c r="I11" i="12"/>
  <c r="I15" i="12"/>
  <c r="L12" i="12"/>
  <c r="K12" i="12"/>
  <c r="J12" i="12"/>
</calcChain>
</file>

<file path=xl/connections.xml><?xml version="1.0" encoding="utf-8"?>
<connections xmlns="http://schemas.openxmlformats.org/spreadsheetml/2006/main">
  <connection id="1" keepAlive="1" name="Query - Incentive Ref" description="Connection to the 'Incentive Ref' query in the workbook." type="5" refreshedVersion="7" background="1" saveData="1">
    <dbPr connection="Provider=Microsoft.Mashup.OleDb.1;Data Source=$Workbook$;Location=&quot;Incentive Ref&quot;;Extended Properties=&quot;&quot;" command="SELECT * FROM [Incentive Ref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<sst xmlns="http://schemas.openxmlformats.org/spreadsheetml/2006/main" count="3075" uniqueCount="791">
  <si>
    <t>Factory Team Assessment Sheet</t>
  </si>
  <si>
    <t>Line Manager:</t>
  </si>
  <si>
    <t>حسين محمود</t>
  </si>
  <si>
    <t>Month:</t>
  </si>
  <si>
    <t>Position:</t>
  </si>
  <si>
    <t>Oracle:</t>
  </si>
  <si>
    <t>Rank 5</t>
  </si>
  <si>
    <t>Rank 4</t>
  </si>
  <si>
    <t>Rank 3</t>
  </si>
  <si>
    <t>Rank 2</t>
  </si>
  <si>
    <t>Rank 1</t>
  </si>
  <si>
    <t>Excellent</t>
  </si>
  <si>
    <t>Very Good</t>
  </si>
  <si>
    <t>Good</t>
  </si>
  <si>
    <t>Fair</t>
  </si>
  <si>
    <t>Poor</t>
  </si>
  <si>
    <t>No.</t>
  </si>
  <si>
    <t>Oracle</t>
  </si>
  <si>
    <t>Employee Name</t>
  </si>
  <si>
    <t>Position as per Oracle</t>
  </si>
  <si>
    <t>Actual Position</t>
  </si>
  <si>
    <t>Production Efficiency (30%)</t>
  </si>
  <si>
    <t>Quality Control (20%)</t>
  </si>
  <si>
    <t>Safety Performance (10%)</t>
  </si>
  <si>
    <t>Attendance (10%)</t>
  </si>
  <si>
    <t>Teamwork (10%)</t>
  </si>
  <si>
    <t>Skill Development (10%)</t>
  </si>
  <si>
    <t>Equipment Handling (5%)</t>
  </si>
  <si>
    <t>Communication (5%)</t>
  </si>
  <si>
    <t>Total Score</t>
  </si>
  <si>
    <t>%</t>
  </si>
  <si>
    <t>GRADE/LEVEL</t>
  </si>
  <si>
    <t>عامل</t>
  </si>
  <si>
    <t>لحام</t>
  </si>
  <si>
    <t>وليام كورونا اوكامبو اوكامبو</t>
  </si>
  <si>
    <t>محمد فول بابو بابو</t>
  </si>
  <si>
    <t>مُصنع قوالب</t>
  </si>
  <si>
    <t>محمد ذاكر حسين انصاري</t>
  </si>
  <si>
    <t>ماجاهار علما بيكاو ميان</t>
  </si>
  <si>
    <t>راج كيشور يادافا يادافا</t>
  </si>
  <si>
    <t>صدام حسين صلاح الدين صلاح الدين</t>
  </si>
  <si>
    <t>قل محمد منظور علام</t>
  </si>
  <si>
    <t>بينتو باندي راميشوار باندي</t>
  </si>
  <si>
    <t>حداد مسلح</t>
  </si>
  <si>
    <t>سونو كومار سينج سينج</t>
  </si>
  <si>
    <t>باسنت كومار براساد براساد</t>
  </si>
  <si>
    <t>جاسم علام امام حسن</t>
  </si>
  <si>
    <t>وقاص علي عطا محمد</t>
  </si>
  <si>
    <t>محمد عارف شاه زمان</t>
  </si>
  <si>
    <t>روكمال توسارا مانيكا وادوجي</t>
  </si>
  <si>
    <t>اعظم احمد محمد حنيف</t>
  </si>
  <si>
    <t>محمد مهيل عبدالحق</t>
  </si>
  <si>
    <t>مد جويل مياه</t>
  </si>
  <si>
    <t>مد روكان سيكدر</t>
  </si>
  <si>
    <t>محمد بلال محمد مسكين</t>
  </si>
  <si>
    <t xml:space="preserve"> لحام</t>
  </si>
  <si>
    <t>محمد ذيشان عالم</t>
  </si>
  <si>
    <t>وسيم محمد نور الاسلام</t>
  </si>
  <si>
    <t>عشيقور مياه</t>
  </si>
  <si>
    <t>ديك باهدور ليمبو ليمبو</t>
  </si>
  <si>
    <t>نجار مسلح</t>
  </si>
  <si>
    <t>شفيق الاسلام رستم علي علي</t>
  </si>
  <si>
    <t>شرف الدين انصاري محمدين ميان</t>
  </si>
  <si>
    <t>راماديال ماهاتو رام براساد ماهاتو</t>
  </si>
  <si>
    <t>راسبيهاري ساه اشيلال ساه</t>
  </si>
  <si>
    <t>مليس</t>
  </si>
  <si>
    <t>مد عباس حسين حسين</t>
  </si>
  <si>
    <t>بابون مياه عبدالهاشم عبدالهاشم</t>
  </si>
  <si>
    <t>كبير علي عبدالستار عبدالستار</t>
  </si>
  <si>
    <t>سوسيم حسين مد فوريش</t>
  </si>
  <si>
    <t>ارشاد علام مونا انصاري</t>
  </si>
  <si>
    <t>محمد علي اشا اشا</t>
  </si>
  <si>
    <t>هيمنشال براساد انار براساد</t>
  </si>
  <si>
    <t>فيروز علام رحمة الله انصاري</t>
  </si>
  <si>
    <t>عزام خان سوبا خان</t>
  </si>
  <si>
    <t>محمد ارشاد خان باز</t>
  </si>
  <si>
    <t>مظهر سيد احمد احمد</t>
  </si>
  <si>
    <t>محمد ظهير محمد رفيق</t>
  </si>
  <si>
    <t>محمد المغير</t>
  </si>
  <si>
    <t>رميش تنغرسو</t>
  </si>
  <si>
    <t>اكبر صاحب ميا</t>
  </si>
  <si>
    <t>ديف كومار ذكور غورانى</t>
  </si>
  <si>
    <t>مد باجو مياه مياه</t>
  </si>
  <si>
    <t>مد عتيق خان خان</t>
  </si>
  <si>
    <t>كبير خان</t>
  </si>
  <si>
    <t>محمد الطاف</t>
  </si>
  <si>
    <t>مد معصوم علي</t>
  </si>
  <si>
    <t>مد سوروج مياه</t>
  </si>
  <si>
    <t>روبيل ازهار راج راج</t>
  </si>
  <si>
    <t>مورتوزا جلال الدين جلال الدين</t>
  </si>
  <si>
    <t>اختر على سياب على</t>
  </si>
  <si>
    <t>رمضان على احسان على</t>
  </si>
  <si>
    <t>شفيق الاسلام جاينال جاينال</t>
  </si>
  <si>
    <t>شفيق فيروج مياه</t>
  </si>
  <si>
    <t>غلام نبي نبي</t>
  </si>
  <si>
    <t>بابلو كومار بايثا بايثا</t>
  </si>
  <si>
    <t>شريف صديق فيباري فيباري</t>
  </si>
  <si>
    <t>ساجد محمود محمد رمضان</t>
  </si>
  <si>
    <t>سهيل اكبر شاه اكبر شاه</t>
  </si>
  <si>
    <t>محمد عثمان مقصود علي</t>
  </si>
  <si>
    <t>مد فاروق حسين</t>
  </si>
  <si>
    <t>مد عاجاد مد علام</t>
  </si>
  <si>
    <t>عابد حسين شاهد ميا</t>
  </si>
  <si>
    <t>مد عكاس علي مس ساهماد</t>
  </si>
  <si>
    <t>قابل شكوم الدين كات بانو</t>
  </si>
  <si>
    <t>محمد ايثار تيلي تيلي</t>
  </si>
  <si>
    <t>علي محمد علي عرفات</t>
  </si>
  <si>
    <t>سلام موندال سحر علي موندال</t>
  </si>
  <si>
    <t>جيوت كومار ياداف ياداف</t>
  </si>
  <si>
    <t>اوسكار جر ديتابلان بوكايون</t>
  </si>
  <si>
    <t>محمد انور احمد خان</t>
  </si>
  <si>
    <t>دانيش اشرات خان خان</t>
  </si>
  <si>
    <t>عثمان علي طالب علي</t>
  </si>
  <si>
    <t>رفيق الاسلام عبدالمجيد عبدالمجيد</t>
  </si>
  <si>
    <t>سناء الله شوكت</t>
  </si>
  <si>
    <t>هابول بهيتا كارتالو بهيتا</t>
  </si>
  <si>
    <t>مد راسيل ميا ميا</t>
  </si>
  <si>
    <t xml:space="preserve">احمد  مساعد  دخيل  الحربي </t>
  </si>
  <si>
    <t>مد شجون ميها</t>
  </si>
  <si>
    <t>اشتياق احمد غلام احمد</t>
  </si>
  <si>
    <t>محمد شهزاد محمد نصيب</t>
  </si>
  <si>
    <t>مبارك حسين حسين</t>
  </si>
  <si>
    <t>ارسد علي علاءالدين علاءالدين</t>
  </si>
  <si>
    <t>شميم فاروق على على</t>
  </si>
  <si>
    <t>رازو مياه عزيز مياه</t>
  </si>
  <si>
    <t>مد امام ميا ميا</t>
  </si>
  <si>
    <t>اسلم ميان عمارالدين ميان</t>
  </si>
  <si>
    <t>بابوالدين اليجان شيخ شيخ</t>
  </si>
  <si>
    <t>سيان محمد ايلام دين</t>
  </si>
  <si>
    <t>سيار خان فاضل بادشاه</t>
  </si>
  <si>
    <t>محمد عظيم قاري خان محمد</t>
  </si>
  <si>
    <t>محمد طاهر محمد مسكين</t>
  </si>
  <si>
    <t>صباحت كبير كبير علي</t>
  </si>
  <si>
    <t>عمر نصر نصر علي</t>
  </si>
  <si>
    <t>مد مامون ميا</t>
  </si>
  <si>
    <t>ناصر علي امام الحسن</t>
  </si>
  <si>
    <t>محمد مفضل مولاه</t>
  </si>
  <si>
    <t>روني ميا</t>
  </si>
  <si>
    <t>روبيل على فانسور رحمن</t>
  </si>
  <si>
    <t>عبدالوهاب سازاد على على</t>
  </si>
  <si>
    <t>بابو على راجا مياه</t>
  </si>
  <si>
    <t>ايدي محمد حميد ميان</t>
  </si>
  <si>
    <t>منظور احمد محمد ايوب</t>
  </si>
  <si>
    <t>يحى خان مهتاب الدين مهتاب الدين</t>
  </si>
  <si>
    <t>رابول خان جهاقير خان</t>
  </si>
  <si>
    <t>محمد مفيق الاسلام محمد</t>
  </si>
  <si>
    <t>لياقت على سيد احمد</t>
  </si>
  <si>
    <t>بلال حسين</t>
  </si>
  <si>
    <t>طاهر محمود مالك بوستان</t>
  </si>
  <si>
    <t>بلال حسين محمد شريف</t>
  </si>
  <si>
    <t>اعجاز حسين علام خان</t>
  </si>
  <si>
    <t>شكور علي صديق صديق</t>
  </si>
  <si>
    <t>فيصل حسين شهيدالله شهيدالله</t>
  </si>
  <si>
    <t>سومون مياه</t>
  </si>
  <si>
    <t>سيفول عبد الرشيد الرشيد</t>
  </si>
  <si>
    <t>نور حسن انصاري رحيم انصاري</t>
  </si>
  <si>
    <t>مد عبدالمطلب</t>
  </si>
  <si>
    <t>صابر علي امام الحسن</t>
  </si>
  <si>
    <t>اكاس ميا اسكور</t>
  </si>
  <si>
    <t>صابر حسين مد رحيم</t>
  </si>
  <si>
    <t>جاويد علام</t>
  </si>
  <si>
    <t>معصوم مياه</t>
  </si>
  <si>
    <t>مد روني مد شان</t>
  </si>
  <si>
    <t>فراج عبدالمولى احمد عبدالمولى زغلى</t>
  </si>
  <si>
    <t>خورشيد علام</t>
  </si>
  <si>
    <t>عبده محمد علي القرون</t>
  </si>
  <si>
    <t>فني ساند بلس</t>
  </si>
  <si>
    <t>فني جي آر سي</t>
  </si>
  <si>
    <t xml:space="preserve">مدخل بيانات </t>
  </si>
  <si>
    <t>ميزان</t>
  </si>
  <si>
    <t>رسام اوتوكاد</t>
  </si>
  <si>
    <t>ممرض</t>
  </si>
  <si>
    <t>فني تركيبات</t>
  </si>
  <si>
    <t>سائق تريلا</t>
  </si>
  <si>
    <t>مشغل كرين</t>
  </si>
  <si>
    <t>مشغل فور كلفت</t>
  </si>
  <si>
    <t xml:space="preserve">مشغل مكسر </t>
  </si>
  <si>
    <t>شغل خلاطة خرسانة</t>
  </si>
  <si>
    <t>سائق ترنس مكسر</t>
  </si>
  <si>
    <t>مشغل لودر</t>
  </si>
  <si>
    <t>عامل تحت التدريب</t>
  </si>
  <si>
    <t xml:space="preserve">عامل </t>
  </si>
  <si>
    <t>حارس</t>
  </si>
  <si>
    <t>مراقب أنتاج</t>
  </si>
  <si>
    <t>مراقب إنتاج</t>
  </si>
  <si>
    <t>مراقب حدادين</t>
  </si>
  <si>
    <t>مراقب تركيبات</t>
  </si>
  <si>
    <t>مراقب منطقة تحميل</t>
  </si>
  <si>
    <t>مراقب تركيبات بريكاست</t>
  </si>
  <si>
    <t>Total</t>
  </si>
  <si>
    <t>Ibrahim Ehab</t>
  </si>
  <si>
    <t>Factory Manager</t>
  </si>
  <si>
    <t>11148</t>
  </si>
  <si>
    <t>22095</t>
  </si>
  <si>
    <t>2090</t>
  </si>
  <si>
    <t>3884</t>
  </si>
  <si>
    <t>9790</t>
  </si>
  <si>
    <t>10301</t>
  </si>
  <si>
    <t>11006</t>
  </si>
  <si>
    <t>11036</t>
  </si>
  <si>
    <t>11054</t>
  </si>
  <si>
    <t>15265</t>
  </si>
  <si>
    <t>15271</t>
  </si>
  <si>
    <t>ساجد الاسلام يار محمد يار محمد</t>
  </si>
  <si>
    <t>ياسين يحي محمد صغير</t>
  </si>
  <si>
    <t>مصطفى محمد عبدالبديع سعيد</t>
  </si>
  <si>
    <t>نديم الحق بختوار نياز</t>
  </si>
  <si>
    <t>هاني محمود محمد حسن مهدلي</t>
  </si>
  <si>
    <t>سيد مصباح الله حسيني حسيني</t>
  </si>
  <si>
    <t>زاهد محمد اسلم بخش</t>
  </si>
  <si>
    <t>عبدالكريم مرشد عوض المحمدي</t>
  </si>
  <si>
    <t>عبدالرحمن هليل فالح الجهني</t>
  </si>
  <si>
    <t>فراس اديب الشيخ خالد</t>
  </si>
  <si>
    <t>ياسر محمد معاليقي معاليقي</t>
  </si>
  <si>
    <t>محمد بشير احمد راتب البيروتي</t>
  </si>
  <si>
    <t>حسين محمود عبدالشافي حيدره</t>
  </si>
  <si>
    <t>مهندس تركيبات</t>
  </si>
  <si>
    <t>مراقب توريد</t>
  </si>
  <si>
    <t>مهندس ميكانيكي</t>
  </si>
  <si>
    <t>مهندس مراقبة جوده</t>
  </si>
  <si>
    <t>مهندس مدني انشاءات</t>
  </si>
  <si>
    <t>اخصائي دعم فني</t>
  </si>
  <si>
    <t>اداري</t>
  </si>
  <si>
    <t>مهندس مدني</t>
  </si>
  <si>
    <t>مهندس مبيعات</t>
  </si>
  <si>
    <t>مراقب عام صيانة</t>
  </si>
  <si>
    <t>17666</t>
  </si>
  <si>
    <t>محمد محمود محمد السعيدات</t>
  </si>
  <si>
    <t>2651</t>
  </si>
  <si>
    <t>محمد عبدالعزيز عبدالحليم الربع</t>
  </si>
  <si>
    <t>5516</t>
  </si>
  <si>
    <t>محمد سميم محمد نسيم</t>
  </si>
  <si>
    <t>2850</t>
  </si>
  <si>
    <t>روبرت انجليدا فيستوسو فيستوسو</t>
  </si>
  <si>
    <t>8022</t>
  </si>
  <si>
    <t>وقاص علام خورشيد علام</t>
  </si>
  <si>
    <t>7942</t>
  </si>
  <si>
    <t>عابد حسين عبدالعزيز عبدالعزيز</t>
  </si>
  <si>
    <t>20168</t>
  </si>
  <si>
    <t>احمد عزالدين احمد شلبي</t>
  </si>
  <si>
    <t>سائق نقل ثقيل</t>
  </si>
  <si>
    <t>سيف الرحمن عباس خان خان</t>
  </si>
  <si>
    <t>مهندس ميكانيكا</t>
  </si>
  <si>
    <t>فني ميكانيكا</t>
  </si>
  <si>
    <t>كهربائي</t>
  </si>
  <si>
    <t>مهندس جودة</t>
  </si>
  <si>
    <t>ميزان الرحمن نورالاسلام نورالاسلام</t>
  </si>
  <si>
    <t>نزار حسين ازهار حسين</t>
  </si>
  <si>
    <t>مراقب جوده</t>
  </si>
  <si>
    <t>عبدالله محمد ابراهيم فلاته</t>
  </si>
  <si>
    <t>همايون مياه</t>
  </si>
  <si>
    <t>فني مختبر</t>
  </si>
  <si>
    <t>محمد نديم محمد نذير</t>
  </si>
  <si>
    <t>باسط علي ضياءالله</t>
  </si>
  <si>
    <t>كوربان علي كالا جان</t>
  </si>
  <si>
    <t>فني تركيبات بريكاست</t>
  </si>
  <si>
    <t>جيورجين ريتي كورتيز كورتيز</t>
  </si>
  <si>
    <t>رمضان رجب علي عبدالرازق</t>
  </si>
  <si>
    <t>مد اميرالاسلام اميرالاسلام</t>
  </si>
  <si>
    <t>مساعد فني تركيبات</t>
  </si>
  <si>
    <t>مد حسن مد كوربان</t>
  </si>
  <si>
    <t>الفريدو كورتيز كورتيز</t>
  </si>
  <si>
    <t>محمد علي عبدالله علي</t>
  </si>
  <si>
    <t>مارك لويو ماناليلي كاباهوج</t>
  </si>
  <si>
    <t>محمد عادل توفيق احمد</t>
  </si>
  <si>
    <t>نشاب الحق سودو موندال موندال</t>
  </si>
  <si>
    <t>جيتشوار سينج شيام جي سينج</t>
  </si>
  <si>
    <t>خالد عبدالهادي احمد عبدالهادي</t>
  </si>
  <si>
    <t>جوناثان فاليس جيلا جيلا</t>
  </si>
  <si>
    <t>كارلو ديليون تولنتينو تولنتينو</t>
  </si>
  <si>
    <t>جايبي ماناليلي كاباهوج كاباهوج</t>
  </si>
  <si>
    <t>مدخل بيانات</t>
  </si>
  <si>
    <t>الفونسو جر ليمباجا لون</t>
  </si>
  <si>
    <t>مايكل بينيولا اوريكا اوريكا</t>
  </si>
  <si>
    <t>جومار سامانيجو كاسترو كاسترو</t>
  </si>
  <si>
    <t>محمد شميم احمد احمد</t>
  </si>
  <si>
    <t>صاحب حسين محمد ادريس ميان</t>
  </si>
  <si>
    <t>شوكت علي خان خان</t>
  </si>
  <si>
    <t>موطلو جيهان جيهان جيهان</t>
  </si>
  <si>
    <t>محمد اصف عبد المجيد عبد المجيد</t>
  </si>
  <si>
    <t>محمد ارشاد محمد يوسف</t>
  </si>
  <si>
    <t>مد شاوان احمد</t>
  </si>
  <si>
    <t>خيرول اسلام</t>
  </si>
  <si>
    <t>بياس ميا ابول</t>
  </si>
  <si>
    <t>محمد سليمان كبير</t>
  </si>
  <si>
    <t>عامل سيلانت</t>
  </si>
  <si>
    <t>نومان شير بهادور</t>
  </si>
  <si>
    <t>مساعد مراقب تركيبات</t>
  </si>
  <si>
    <t>مد سوجيب قدوس علي</t>
  </si>
  <si>
    <t>محمد موهد محمد ناصر</t>
  </si>
  <si>
    <t>محمد هشام صلاح سلطح</t>
  </si>
  <si>
    <t>مد نطمول حسن ازهار</t>
  </si>
  <si>
    <t>عمرو جمال الدين عبدالعزيز احمد</t>
  </si>
  <si>
    <t>مد سوزان علي</t>
  </si>
  <si>
    <t>نوار محمد صغير محسن الحكمي</t>
  </si>
  <si>
    <t>ليلو خان انو خان</t>
  </si>
  <si>
    <t xml:space="preserve">مراقب تركيبات </t>
  </si>
  <si>
    <t>مساح</t>
  </si>
  <si>
    <t>رسام اوتوكاد-Detailer</t>
  </si>
  <si>
    <t xml:space="preserve">مساعد فني مختبر </t>
  </si>
  <si>
    <t>مراقب جودة ورشة الحديد</t>
  </si>
  <si>
    <t>مراقب جودة الهلوكور</t>
  </si>
  <si>
    <t xml:space="preserve">مراقب جودة صب الخرسانة </t>
  </si>
  <si>
    <t xml:space="preserve">ميكانيكي </t>
  </si>
  <si>
    <t xml:space="preserve">لحام </t>
  </si>
  <si>
    <t xml:space="preserve">فني هلوكور </t>
  </si>
  <si>
    <t xml:space="preserve">مراقب تحميل </t>
  </si>
  <si>
    <t xml:space="preserve">فني ميكانيكا </t>
  </si>
  <si>
    <t xml:space="preserve">كهربائي </t>
  </si>
  <si>
    <t xml:space="preserve">فني كهرباء </t>
  </si>
  <si>
    <t xml:space="preserve">مراقب صيانة </t>
  </si>
  <si>
    <t xml:space="preserve">مراقب ورشة </t>
  </si>
  <si>
    <t>مصنع قوالب</t>
  </si>
  <si>
    <t>فورمان صالة 1</t>
  </si>
  <si>
    <t xml:space="preserve">مليس </t>
  </si>
  <si>
    <t>فني ساندبلاست</t>
  </si>
  <si>
    <t>مراقب GRC</t>
  </si>
  <si>
    <t xml:space="preserve">مشغل خلاطه جي ار سي </t>
  </si>
  <si>
    <t xml:space="preserve">منسق انتاج </t>
  </si>
  <si>
    <t>مساعد امين مخزن</t>
  </si>
  <si>
    <t>امين مخزن</t>
  </si>
  <si>
    <t>عامل بوفيه</t>
  </si>
  <si>
    <t>باكيت</t>
  </si>
  <si>
    <t>بوكر</t>
  </si>
  <si>
    <t>مشغل هيلكوبتر</t>
  </si>
  <si>
    <t>عامل نظافة</t>
  </si>
  <si>
    <t>مساعد مشغل حلاطة</t>
  </si>
  <si>
    <t>عامل كريك</t>
  </si>
  <si>
    <t xml:space="preserve">مشغل اوفر هيد كرين </t>
  </si>
  <si>
    <t>مشغل فوركلفت</t>
  </si>
  <si>
    <t>مشغل خلاطة</t>
  </si>
  <si>
    <t>مشغل مكسر</t>
  </si>
  <si>
    <t>دهان بوتامين</t>
  </si>
  <si>
    <t>حارس ويعمل بايام الجمعات</t>
  </si>
  <si>
    <t xml:space="preserve">حارس </t>
  </si>
  <si>
    <t xml:space="preserve">مراقب صالة 3 ومراقب عام </t>
  </si>
  <si>
    <t xml:space="preserve">مراقب عام </t>
  </si>
  <si>
    <t>مراقب صالة 2</t>
  </si>
  <si>
    <t>مراقب انتاج ومواد</t>
  </si>
  <si>
    <t>مراقب فريق الصب</t>
  </si>
  <si>
    <t>FORMAN</t>
  </si>
  <si>
    <t>PLANT OPRETER</t>
  </si>
  <si>
    <t>PLANT HELPER</t>
  </si>
  <si>
    <t>LABOR ALL WORK</t>
  </si>
  <si>
    <t>MAISAN</t>
  </si>
  <si>
    <t>FORKLIFT</t>
  </si>
  <si>
    <t>Q C   HELPER</t>
  </si>
  <si>
    <t>CRENE OPPRETER</t>
  </si>
  <si>
    <t>LODING INCHARGE</t>
  </si>
  <si>
    <t>CUTER OPPRETER</t>
  </si>
  <si>
    <t>WELDAR</t>
  </si>
  <si>
    <t>Status</t>
  </si>
  <si>
    <t>محمد عارف محمد صادق</t>
  </si>
  <si>
    <t>مشرف سلامة</t>
  </si>
  <si>
    <t>شريف حسين</t>
  </si>
  <si>
    <t>عبدالعزيز عزت خان خان</t>
  </si>
  <si>
    <t>محمد اصف بابو شاند</t>
  </si>
  <si>
    <t>سابوز مياه</t>
  </si>
  <si>
    <t>مد مسعود ميا مد شيبالي</t>
  </si>
  <si>
    <t>الحالة</t>
  </si>
  <si>
    <t>شغال</t>
  </si>
  <si>
    <t>حافز شهر
10/2022</t>
  </si>
  <si>
    <t>حافز شهر
11/2024</t>
  </si>
  <si>
    <t>تاريخ الاجازة السنوية</t>
  </si>
  <si>
    <t>Inc. Ref.</t>
  </si>
  <si>
    <t>Foreman 1</t>
  </si>
  <si>
    <t>Foreman 2</t>
  </si>
  <si>
    <t>% Target</t>
  </si>
  <si>
    <t>Welder</t>
  </si>
  <si>
    <t>Fabricator</t>
  </si>
  <si>
    <t>Labor</t>
  </si>
  <si>
    <t>Steel Fixer</t>
  </si>
  <si>
    <t>Mason</t>
  </si>
  <si>
    <t>Sandblaster</t>
  </si>
  <si>
    <t>Technician</t>
  </si>
  <si>
    <t>Operator 1</t>
  </si>
  <si>
    <t>Operator 2</t>
  </si>
  <si>
    <t>SCM-2</t>
  </si>
  <si>
    <t>SCM-3</t>
  </si>
  <si>
    <t>Operator 3</t>
  </si>
  <si>
    <t>Driver 1</t>
  </si>
  <si>
    <t>Data Entry</t>
  </si>
  <si>
    <t>Other</t>
  </si>
  <si>
    <t>Mason 2</t>
  </si>
  <si>
    <t>Incentive Ref.</t>
  </si>
  <si>
    <t>Ref. Position</t>
  </si>
  <si>
    <t>Technician 1</t>
  </si>
  <si>
    <t>Technician 2</t>
  </si>
  <si>
    <t>QC Foreman 1</t>
  </si>
  <si>
    <t>QC Foreman 2</t>
  </si>
  <si>
    <t>Engineer 2</t>
  </si>
  <si>
    <t>Engineer 1</t>
  </si>
  <si>
    <t>Mech Tech</t>
  </si>
  <si>
    <t>Elec Tech</t>
  </si>
  <si>
    <t>Mech Sup</t>
  </si>
  <si>
    <t>Elec Sup</t>
  </si>
  <si>
    <t>Supervisor</t>
  </si>
  <si>
    <t>Erec Tech 2</t>
  </si>
  <si>
    <t>Erec Tech 1</t>
  </si>
  <si>
    <t>Electrician</t>
  </si>
  <si>
    <t>Driver 2</t>
  </si>
  <si>
    <t>Coordinator</t>
  </si>
  <si>
    <t>Repair</t>
  </si>
  <si>
    <t>Surveyor</t>
  </si>
  <si>
    <t xml:space="preserve">Labor </t>
  </si>
  <si>
    <t>SCM 1</t>
  </si>
  <si>
    <t>Safety 1</t>
  </si>
  <si>
    <t>Est. Officer</t>
  </si>
  <si>
    <t>Admin 1</t>
  </si>
  <si>
    <t>Carpenter</t>
  </si>
  <si>
    <t>Admin 2</t>
  </si>
  <si>
    <t>10 Vacation Factors</t>
  </si>
  <si>
    <t>11 Vacation Factors</t>
  </si>
  <si>
    <t xml:space="preserve">Production </t>
  </si>
  <si>
    <t>Technical</t>
  </si>
  <si>
    <t>HC</t>
  </si>
  <si>
    <t>QC</t>
  </si>
  <si>
    <t>Maintenance</t>
  </si>
  <si>
    <t>10, 2024</t>
  </si>
  <si>
    <t>11, 2024</t>
  </si>
  <si>
    <t>%Target</t>
  </si>
  <si>
    <t>ميكانيكي اليات ثقيلة</t>
  </si>
  <si>
    <t>Position</t>
  </si>
  <si>
    <t>Ref</t>
  </si>
  <si>
    <t>All Positions</t>
  </si>
  <si>
    <t>Actual Position Final</t>
  </si>
  <si>
    <t>رسام اوتوكاد9</t>
  </si>
  <si>
    <t>Production Cost</t>
  </si>
  <si>
    <t>Percentage (%)</t>
  </si>
  <si>
    <t>نجار (مساعد مساح)</t>
  </si>
  <si>
    <t>Total Manpower</t>
  </si>
  <si>
    <t>Working Manpower</t>
  </si>
  <si>
    <t>Evaluation</t>
  </si>
  <si>
    <t>Working</t>
  </si>
  <si>
    <t>Leave</t>
  </si>
  <si>
    <t>Detailer 2</t>
  </si>
  <si>
    <t>مندوب مشتريات</t>
  </si>
  <si>
    <t>حافز شهر
12/2024</t>
  </si>
  <si>
    <t>12 Vacation Factors</t>
  </si>
  <si>
    <t>محول من قسم الانتاج بتاريخ 27/11/2027</t>
  </si>
  <si>
    <t>عودة من الاجازة بتاريخ 07/12/2024</t>
  </si>
  <si>
    <t>محمد عبدالقادر</t>
  </si>
  <si>
    <t>مهندس كهرباء</t>
  </si>
  <si>
    <t>مهندس مكتب فني</t>
  </si>
  <si>
    <t xml:space="preserve">مهندس مدني </t>
  </si>
  <si>
    <t>QC Inspector 1</t>
  </si>
  <si>
    <t>QC Inspector 2</t>
  </si>
  <si>
    <t>QC Inspector 3</t>
  </si>
  <si>
    <t>حافز شهر
01/01/2025</t>
  </si>
  <si>
    <t>سالم هيثم منصور باجيل</t>
  </si>
  <si>
    <t>محي الدين عبداللطيف ادريس ادريس</t>
  </si>
  <si>
    <t>عمران احمد</t>
  </si>
  <si>
    <t>نور محمود</t>
  </si>
  <si>
    <t>اجوي ساركير</t>
  </si>
  <si>
    <t>محمد شهباز حسين بخش</t>
  </si>
  <si>
    <t>امير الله معين الدين معين الدين معين الدين</t>
  </si>
  <si>
    <t>وحيد  اختر خان افسار</t>
  </si>
  <si>
    <t>فرحان عبدالرشيد ساجد ساجد</t>
  </si>
  <si>
    <t>محمد قربان علي</t>
  </si>
  <si>
    <t>قادر مياه باهادور مياه</t>
  </si>
  <si>
    <t>مد بيزوي مياه</t>
  </si>
  <si>
    <t>محمد مطالب مياه</t>
  </si>
  <si>
    <t>اليرجا عبد الحميد الحميد</t>
  </si>
  <si>
    <t>شاهد خان اختر قل</t>
  </si>
  <si>
    <t>حامد ميان امينا امينا</t>
  </si>
  <si>
    <t>راجيش براساد رام بيجاي براساد</t>
  </si>
  <si>
    <t>شاترودهان شاه بالديو شاه</t>
  </si>
  <si>
    <t xml:space="preserve">بالاوانت كومار رام  باياري </t>
  </si>
  <si>
    <t>الطاف حسين واريز علي</t>
  </si>
  <si>
    <t>محمد اقبال محمد دين</t>
  </si>
  <si>
    <t>محمد اصف محمد صديقي</t>
  </si>
  <si>
    <t>راجو كومار بانديت بانديت</t>
  </si>
  <si>
    <t>مظهر علي محمد غلاب</t>
  </si>
  <si>
    <t>مد صبور</t>
  </si>
  <si>
    <t xml:space="preserve">مد جاهيرول  مولا  مد </t>
  </si>
  <si>
    <t>مد امين</t>
  </si>
  <si>
    <t>محمد ديلوار محمد مصطفى</t>
  </si>
  <si>
    <t>سعيد الله رحمن داد خان</t>
  </si>
  <si>
    <t>لياقت حسين منظور احمد</t>
  </si>
  <si>
    <t>محمد محسن امير احمد</t>
  </si>
  <si>
    <t>محمد حسنين محمد اقبال</t>
  </si>
  <si>
    <t>مدثر حسين محمد جمال</t>
  </si>
  <si>
    <t>مد شهيد الاسلام</t>
  </si>
  <si>
    <t>إجاز احمد عبد الغفار</t>
  </si>
  <si>
    <t xml:space="preserve">صابوج محمد </t>
  </si>
  <si>
    <t>مد تيتو بلال حسين</t>
  </si>
  <si>
    <t>سراج احمد</t>
  </si>
  <si>
    <t>مصطفى جمال محمد ابراهيم زيدان</t>
  </si>
  <si>
    <t>دلوار خان نورو خان</t>
  </si>
  <si>
    <t>ساحن مياه دوخهو مياه</t>
  </si>
  <si>
    <t>محمد انس شمشاد</t>
  </si>
  <si>
    <t>احمد شافعي محمود عبدو</t>
  </si>
  <si>
    <t>احمد محمد احمد محمد عبدالحق</t>
  </si>
  <si>
    <t>مد  سليم  رضا</t>
  </si>
  <si>
    <t>وسيم احمد انصاري انصاري</t>
  </si>
  <si>
    <t>سري اناندا شاندرا موندول</t>
  </si>
  <si>
    <t>نور علي محمد حنيف</t>
  </si>
  <si>
    <t>محمد  ليتون ميا</t>
  </si>
  <si>
    <t>روني حسين موهيدور</t>
  </si>
  <si>
    <t>عبدالستار مالك محمد حسين</t>
  </si>
  <si>
    <t>مد اشرف مياه عبدول</t>
  </si>
  <si>
    <t>عطا الله علي محمد خوخار</t>
  </si>
  <si>
    <t>ريزوال كريم حضرت علي</t>
  </si>
  <si>
    <t>اسماعيل علي محمد عزالدين</t>
  </si>
  <si>
    <t>رياض احمد محمد محمد</t>
  </si>
  <si>
    <t>محمد نعمان محمد حنيف</t>
  </si>
  <si>
    <t>كوثر على عبران على</t>
  </si>
  <si>
    <t>سومون مياه مظفور مياه</t>
  </si>
  <si>
    <t>سوزات علي شاهد مياه</t>
  </si>
  <si>
    <t>عبدالله حميد علي بهلول</t>
  </si>
  <si>
    <t>فرهاد محمد ارشاد ارشاد</t>
  </si>
  <si>
    <t>محمد معين محمد خاجه</t>
  </si>
  <si>
    <t>اورانجا ذيب منذور احمد احمد</t>
  </si>
  <si>
    <t>جاهر خا عارف خا</t>
  </si>
  <si>
    <t xml:space="preserve">مد شافعي  ميا </t>
  </si>
  <si>
    <t>حسن علي</t>
  </si>
  <si>
    <t>مد شوهاج سودور علي</t>
  </si>
  <si>
    <t>تعظيم احمد جوتان احمد</t>
  </si>
  <si>
    <t>مد جويل رانا</t>
  </si>
  <si>
    <t>محمد شاه جاهان صاحب خان</t>
  </si>
  <si>
    <t>قيوم ميا</t>
  </si>
  <si>
    <t>ظهيرالاسلام كانشان ميا</t>
  </si>
  <si>
    <t>فياج بهويان فاروق بهويان</t>
  </si>
  <si>
    <t>مد سالم مد عبد الستار</t>
  </si>
  <si>
    <t>محمد طارق عبد المجيد</t>
  </si>
  <si>
    <t>مد نورالاسلام</t>
  </si>
  <si>
    <t>مد  ميزان  الرحمن</t>
  </si>
  <si>
    <t>عمران  عبد  الجليل</t>
  </si>
  <si>
    <t>مد سوجون مياه</t>
  </si>
  <si>
    <t>عمر فاروق امين الدين امين الدين</t>
  </si>
  <si>
    <t>جيركو سلازار ساباو ساباو</t>
  </si>
  <si>
    <t>خالد جمال محمد علي النويره</t>
  </si>
  <si>
    <t>محمود محمد جمعه على</t>
  </si>
  <si>
    <t>محمود احمد محمد الشربيني</t>
  </si>
  <si>
    <t>خالد محمود عبدالله السيد السيد الجمال</t>
  </si>
  <si>
    <t>باسان مياه ليت دولال</t>
  </si>
  <si>
    <t>احمد خان خان زمان خان زمان</t>
  </si>
  <si>
    <t>امتياز علام رحمت علام</t>
  </si>
  <si>
    <t>تارا خان لاتي افضل خان</t>
  </si>
  <si>
    <t>سعد عزت محمد خليل</t>
  </si>
  <si>
    <t>اكبر علي رايسو دين رايسو دين</t>
  </si>
  <si>
    <t>تيجرام مانسا رام رام</t>
  </si>
  <si>
    <t>محمد لابلو</t>
  </si>
  <si>
    <t>مفيضول كابور علي علي</t>
  </si>
  <si>
    <t>زهير الاسلام</t>
  </si>
  <si>
    <t>روبشان مياه مياه شان</t>
  </si>
  <si>
    <t>مد سهيل مد عبدول</t>
  </si>
  <si>
    <t>سيفور علي</t>
  </si>
  <si>
    <t>عتيق الرحمن خورشو مياه مياه</t>
  </si>
  <si>
    <t>مد شاكيل مد جمال الدين</t>
  </si>
  <si>
    <t>لال ميا عبد القدوس</t>
  </si>
  <si>
    <t>مد منجورالحق مد مد</t>
  </si>
  <si>
    <t>اشوك براساد رامشاندرا براساد</t>
  </si>
  <si>
    <t>عبدالمنان سلام صيكدير صيكدير</t>
  </si>
  <si>
    <t>مد رانا مد جوبار</t>
  </si>
  <si>
    <t>عبيد الله اشرف علي</t>
  </si>
  <si>
    <t>مد سابون مد سوروز</t>
  </si>
  <si>
    <t>محمد نور علام</t>
  </si>
  <si>
    <t>محمد مجمل حق</t>
  </si>
  <si>
    <t>محمد نوشاد محمد عباس</t>
  </si>
  <si>
    <t>لاك مياه ابوالهاشم ابوالهاشم</t>
  </si>
  <si>
    <t>زاهد جافيد ظفرالله ظفرالله</t>
  </si>
  <si>
    <t>عثمان مرتضى غلام مرتضى</t>
  </si>
  <si>
    <t>سليم حسين</t>
  </si>
  <si>
    <t>احمد رمضان ابراهيم عيد</t>
  </si>
  <si>
    <t>محمد حمدي محمد عشبه</t>
  </si>
  <si>
    <t>نور الدين صلاح عبدالواحد منصور</t>
  </si>
  <si>
    <t>سليم شفيق شفيق شفيق</t>
  </si>
  <si>
    <t>قمرالحسن غياث غياث</t>
  </si>
  <si>
    <t>محمد صالح محمد الخطيب</t>
  </si>
  <si>
    <t>محمد شاهين صبره محمد</t>
  </si>
  <si>
    <t>مد شوهاج برامانيك</t>
  </si>
  <si>
    <t>محمد خورشيد علام علي</t>
  </si>
  <si>
    <t>محمد عديل محمد بشير</t>
  </si>
  <si>
    <t>شوقين محمد ياسين</t>
  </si>
  <si>
    <t>ازاد محمد نورول</t>
  </si>
  <si>
    <t>سونجوي موندول</t>
  </si>
  <si>
    <t xml:space="preserve">محمد  موزنو ميا </t>
  </si>
  <si>
    <t>اشرف علي</t>
  </si>
  <si>
    <t>عبد الوحيد بك</t>
  </si>
  <si>
    <t>محمد انيس طه عبد ربه</t>
  </si>
  <si>
    <t>محمد شهزاد محمد رفيق</t>
  </si>
  <si>
    <t>ميراج علام سيفى سيفى</t>
  </si>
  <si>
    <t>دين اسلام احد علي</t>
  </si>
  <si>
    <t>اسامه شان شان محمد</t>
  </si>
  <si>
    <t>حسنين حيدر محمد منشا</t>
  </si>
  <si>
    <t>محمد بلال وحدات خان</t>
  </si>
  <si>
    <t>ذوالفقار علي جالا جالا</t>
  </si>
  <si>
    <t>كيراي موشار موشار موشار</t>
  </si>
  <si>
    <t>راجيش براساد شوجي براساد</t>
  </si>
  <si>
    <t>ازهار علي افاج</t>
  </si>
  <si>
    <t>نواب خان سريف</t>
  </si>
  <si>
    <t>هاريندرا جود هاريلال جود</t>
  </si>
  <si>
    <t>هالاشال كومار هارندرا مانجهي</t>
  </si>
  <si>
    <t>واسد جاويد انور محمد انور</t>
  </si>
  <si>
    <t>محمد رضوان غفور عبدالغفور</t>
  </si>
  <si>
    <t>محمد طاهر محمد سروار</t>
  </si>
  <si>
    <t>سبين قل سيدان شاه</t>
  </si>
  <si>
    <t>محمد عبدالله غلام الدين غلام الدين</t>
  </si>
  <si>
    <t>محمد زيشان ذو الفقار على</t>
  </si>
  <si>
    <t>نديم ناصر نديم</t>
  </si>
  <si>
    <t>جهانقير احمد محمد نذير</t>
  </si>
  <si>
    <t>سليم خان ميان محمد</t>
  </si>
  <si>
    <t>ابراهيم علي ابراهيم محمد</t>
  </si>
  <si>
    <t>محمد وسيم اكرم اكرم</t>
  </si>
  <si>
    <t>محمد علي</t>
  </si>
  <si>
    <t>محمد نصرالله انصاري انصاري</t>
  </si>
  <si>
    <t>ابراهيم شاهين صبره محمد</t>
  </si>
  <si>
    <t>مامون مياه خورسو</t>
  </si>
  <si>
    <t>محمد لطفي ابوالسعود عبدالباقي</t>
  </si>
  <si>
    <t>مد شاهين ديوان ديوان</t>
  </si>
  <si>
    <t>عامر مساعد دخيل الحربي</t>
  </si>
  <si>
    <t>عمران شاه مرسلين شاه</t>
  </si>
  <si>
    <t>احمد علي محمد علي المنتصر</t>
  </si>
  <si>
    <t>مد ساجار</t>
  </si>
  <si>
    <t>علي مجمل يحيى علي القفاف</t>
  </si>
  <si>
    <t>علي جابر علي المصلحي</t>
  </si>
  <si>
    <t>شاكر شابير علي</t>
  </si>
  <si>
    <t>مشرف حسين</t>
  </si>
  <si>
    <t>محمد سيد محمد علي</t>
  </si>
  <si>
    <t>عمر اشرف محمود احمد</t>
  </si>
  <si>
    <t>Supply Chain</t>
  </si>
  <si>
    <t>Attendance &amp; Achievment Factors</t>
  </si>
  <si>
    <t>Attencance and Achievement Factor</t>
  </si>
  <si>
    <t>Planning, Reporting &amp; Timelines (10%)</t>
  </si>
  <si>
    <t>Cost effeciency (10%)</t>
  </si>
  <si>
    <t>Attendance and Achievement Facotr</t>
  </si>
  <si>
    <t>Safety (5%)</t>
  </si>
  <si>
    <t>Installation</t>
  </si>
  <si>
    <t>حافز شهر
01/02/2025</t>
  </si>
  <si>
    <t>حافز شهر
01/03/2025</t>
  </si>
  <si>
    <t>حسام حسني</t>
  </si>
  <si>
    <t>عبدالرحمن غلام جان جان</t>
  </si>
  <si>
    <t>علي محمد علي الرجمه</t>
  </si>
  <si>
    <t>ديبيش كومار</t>
  </si>
  <si>
    <t>محمد عبدالقادر عبدالقادر</t>
  </si>
  <si>
    <t xml:space="preserve">ألاك مياه </t>
  </si>
  <si>
    <t>محمد منير زلدار زلدار</t>
  </si>
  <si>
    <t>جارجود خان سوفيدا خان</t>
  </si>
  <si>
    <t>خواجه محمد يونس اقبال</t>
  </si>
  <si>
    <t>روجينيو جي ارسامونتي ميندوزا</t>
  </si>
  <si>
    <t>احمد السيد احمد خضر</t>
  </si>
  <si>
    <t>حافز شهر
01/04/2026</t>
  </si>
  <si>
    <t>محمود الحسن محمد تاج</t>
  </si>
  <si>
    <t>محمد شين عالم</t>
  </si>
  <si>
    <t>مد لامين مياه</t>
  </si>
  <si>
    <t>ظفر اقبال مختار</t>
  </si>
  <si>
    <t>محمد رفيقول ميا</t>
  </si>
  <si>
    <t>سيدول ميا معين</t>
  </si>
  <si>
    <t>محمد سيف ال سلام</t>
  </si>
  <si>
    <t>سيبو سلطان</t>
  </si>
  <si>
    <t>ضياء الرحمن</t>
  </si>
  <si>
    <t>علاء الدين علاء الدين</t>
  </si>
  <si>
    <t xml:space="preserve">زياد مساعد الصاعدي </t>
  </si>
  <si>
    <t>حافز شهر01/06/2025</t>
  </si>
  <si>
    <t>حافز شهر
01-06-2025</t>
  </si>
  <si>
    <t>حافز شهر
06/2025</t>
  </si>
  <si>
    <t>حافز شهر 
06-2025</t>
  </si>
  <si>
    <t>حافز شهر2025-06</t>
  </si>
  <si>
    <t>حافز شهر
06-2025</t>
  </si>
  <si>
    <t>حافز شهر01/05/2025</t>
  </si>
  <si>
    <t xml:space="preserve">امجد خان </t>
  </si>
  <si>
    <t xml:space="preserve">شغال </t>
  </si>
  <si>
    <t>شميم عثمان  محمد سيدر</t>
  </si>
  <si>
    <t>Safety 2</t>
  </si>
  <si>
    <t>Technician 3</t>
  </si>
  <si>
    <t>Detailer 1</t>
  </si>
  <si>
    <t>Grade</t>
  </si>
  <si>
    <t>Attendance and Achievement Factor</t>
  </si>
  <si>
    <t>Dept</t>
  </si>
  <si>
    <t>Incentives</t>
  </si>
  <si>
    <t>Management</t>
  </si>
  <si>
    <t>جمال محمد علي النويره</t>
  </si>
  <si>
    <t>حافز شهر
07/2025</t>
  </si>
  <si>
    <t>حافز شهر
01-07-2025</t>
  </si>
  <si>
    <t>`</t>
  </si>
  <si>
    <t>حافز شهر 
07-2025</t>
  </si>
  <si>
    <t>أحمد بيومى</t>
  </si>
  <si>
    <t>حافز شهر2025-07</t>
  </si>
  <si>
    <t>حافز شهر
07-2025</t>
  </si>
  <si>
    <t>حافز شهر
08/2025</t>
  </si>
  <si>
    <t>حافز شهر
01-08-2025</t>
  </si>
  <si>
    <t>حافز شهر 
08-2025</t>
  </si>
  <si>
    <t>حافز شهر2025-08</t>
  </si>
  <si>
    <t>حافز شهر
08-2025</t>
  </si>
  <si>
    <t xml:space="preserve">عبد الرحمن أيمن رمضان </t>
  </si>
  <si>
    <t>حسين محمد حسين السيد</t>
  </si>
  <si>
    <t>امداد علي شيخ رمضان علي</t>
  </si>
  <si>
    <t>محمد سعيد شلبى عيسى</t>
  </si>
  <si>
    <t xml:space="preserve">حمادة بدر </t>
  </si>
  <si>
    <t xml:space="preserve">محمد حسن على أحمد العز </t>
  </si>
  <si>
    <t xml:space="preserve">هاميل على ارشاد حسين </t>
  </si>
  <si>
    <t>امارناث كومار ناديل كوشاواها</t>
  </si>
  <si>
    <t>محمد جويل جويل</t>
  </si>
  <si>
    <t>محمد مانيك مياه</t>
  </si>
  <si>
    <t>مثيب شفيق</t>
  </si>
  <si>
    <t>حسنين علي عاشق</t>
  </si>
  <si>
    <t>اميت كومار ساه</t>
  </si>
  <si>
    <t>توفيق علي حسن العمري</t>
  </si>
  <si>
    <t xml:space="preserve">تاج محمد </t>
  </si>
  <si>
    <t>أطياب حسين</t>
  </si>
  <si>
    <t>سلمان خان سيد احمد خان</t>
  </si>
  <si>
    <t>مد جوي اسلام شمسول</t>
  </si>
  <si>
    <t>حفيظ خان عبدالعزيز عبدالعزيز</t>
  </si>
  <si>
    <t>علي صالح علي الدبيلي</t>
  </si>
  <si>
    <t>محمد سليم الله ديتا الله ديتا</t>
  </si>
  <si>
    <t>أنيل اكناث بادغوجار</t>
  </si>
  <si>
    <t>محمد سكلين شهيد</t>
  </si>
  <si>
    <t>رانا مياه</t>
  </si>
  <si>
    <t>شاهين علي</t>
  </si>
  <si>
    <t>بيلاوال أحمد خاسيته</t>
  </si>
  <si>
    <t>زين علي علي</t>
  </si>
  <si>
    <t xml:space="preserve"> ضياء الحق </t>
  </si>
  <si>
    <t>ابراهيم نبيل ابراهيم مراد</t>
  </si>
  <si>
    <t>محمد عادل محمد ميسال خان</t>
  </si>
  <si>
    <t>سائق الاسعاف بالصناعية</t>
  </si>
  <si>
    <t>محمد صبري ابو المعاطي فودة</t>
  </si>
  <si>
    <t>موظف جديد باشر العمل بتاريخ 21/12/2025</t>
  </si>
  <si>
    <t>محمود سعد محمود علي</t>
  </si>
  <si>
    <t>راج كيشور ساد كالوار</t>
  </si>
  <si>
    <t>محمد وقاص محمد الياس</t>
  </si>
  <si>
    <t>ماجد حبيب الرحمن خير محمد</t>
  </si>
  <si>
    <t xml:space="preserve">حسام حسني ماهر محمد عمر </t>
  </si>
  <si>
    <t>احمد السعيد حسن الشيخ</t>
  </si>
  <si>
    <t>موظف جديد تم تحويله لمصنع البريكاست بتاريخ 23/11/2025</t>
  </si>
  <si>
    <t>مدير إنتاج</t>
  </si>
  <si>
    <t xml:space="preserve">م. محمد بني ليث </t>
  </si>
  <si>
    <t>سلاسل الإمداد</t>
  </si>
  <si>
    <t>أحمد السيد خضر</t>
  </si>
  <si>
    <t>جهير ال الاسلام</t>
  </si>
  <si>
    <t>اعمال تركيب الكاميرات</t>
  </si>
  <si>
    <t>عمر فاروق محمد بشير</t>
  </si>
  <si>
    <t>عمل على صيانة مكتب الادارة</t>
  </si>
  <si>
    <t>فاطمة البلوشي</t>
  </si>
  <si>
    <t>اجازة طارئة بتاريخ 04/02/2026</t>
  </si>
  <si>
    <t>عبدالاله عادل الرحيلي</t>
  </si>
  <si>
    <t>اجازة عادية بتاريخ 06/01/2026</t>
  </si>
  <si>
    <t>اجازة عادية بتاريخ 12/01/2026</t>
  </si>
  <si>
    <t>محمد كاشف نذير احمد</t>
  </si>
  <si>
    <t>Grade-B</t>
  </si>
  <si>
    <t>Grade-A</t>
  </si>
  <si>
    <t>عبد الله سلمان السهلي</t>
  </si>
  <si>
    <t>منتصر احمد محمد المكاشفي</t>
  </si>
  <si>
    <t>حافز الربع الأول Q1</t>
  </si>
  <si>
    <t>Technical Office Engineer</t>
  </si>
  <si>
    <t>اجازة عادية بتاريخ 28/02/2026</t>
  </si>
  <si>
    <t>اجازة عادية بتاريخ 14/02/2026</t>
  </si>
  <si>
    <t>ميزان الرحمن</t>
  </si>
  <si>
    <t>باشر العمل بتاريخ 16/02/2026</t>
  </si>
  <si>
    <t>اجازة عادية بتاريخ 25/02/2026</t>
  </si>
  <si>
    <t>اجازة عادية بتاريخ 23/02/2026</t>
  </si>
  <si>
    <t>اصابة عامل حتى تاريخ 17/02/2026</t>
  </si>
  <si>
    <t>اجازة عادية بتاريخ 12/02/2026</t>
  </si>
  <si>
    <t>اجازة امومة بتاريخ 05/03/2026</t>
  </si>
  <si>
    <t>موظف جديد باشر العمل بتاريخ 01/01/2026</t>
  </si>
  <si>
    <t>حافز شهر
03/2026</t>
  </si>
  <si>
    <t>حافز شهر 
03/2026</t>
  </si>
  <si>
    <t>حافز شهر 03/2026</t>
  </si>
  <si>
    <t>حافز شهر 
03-2026</t>
  </si>
  <si>
    <t>خروج نهائي اخر عمل له بتاريخ 02/03/2026</t>
  </si>
  <si>
    <t>عودة من الاجازة بتاريخ 31/03/2026</t>
  </si>
  <si>
    <t>عودة من الاجازة بتاريخ 12/03/2026</t>
  </si>
  <si>
    <t>عودة من الاجازة بتاريخ 04/03/2026</t>
  </si>
  <si>
    <t>خروج نهائي اخر عمل له بتاريخ 17/03/2026</t>
  </si>
  <si>
    <t>عودة من الاجازة بتاريخ 24/03/2026</t>
  </si>
  <si>
    <t>عودة من الاجازة بتاريخ 28/03/2026</t>
  </si>
  <si>
    <t>عودة من الاجازة بتاريخ 29/03/2026</t>
  </si>
  <si>
    <t xml:space="preserve">إجازة مرضية بتاريخ (27-28)01/2026+ إجازة مرضية بتاريخ  04/02/2026   </t>
  </si>
  <si>
    <t>إجازة طارئة مدة 9 أيام خلال شهر 1 + اجازة طارئة مدة 5 ايام خلال شهر 3</t>
  </si>
  <si>
    <t>عودة من الاجازة بتاريخ 08/03/2026</t>
  </si>
  <si>
    <t>اجازة مرضية بتاريخ 26/03/2026</t>
  </si>
  <si>
    <t>محمد فارياد عالم</t>
  </si>
  <si>
    <t>موظف جديد باشر العمل بتاريخ16/03/2026</t>
  </si>
  <si>
    <t>اجازة عادية بتاريخ 13/03/2026</t>
  </si>
  <si>
    <t>شغال + اصابه عمل من تاريخ 3 حتى  16 / 03 / 2026</t>
  </si>
  <si>
    <t>اجازة عادية بتاريخ 09/03/2026</t>
  </si>
  <si>
    <t>اجازة عادية بتاريخ 10/03/2026</t>
  </si>
  <si>
    <t>اجازة عادية بتاريخ 01/03/2026</t>
  </si>
  <si>
    <t>اجازة عادية بتاريخ 02/03/2026م</t>
  </si>
  <si>
    <t>اجازة عادية بتاريخ 28/03/2026</t>
  </si>
  <si>
    <t>خروج نهائي اخر عمل له 28/02/2026</t>
  </si>
  <si>
    <t>اجازة عادية بتاريخ 15/03/2026</t>
  </si>
  <si>
    <t>اجازة عادية بتاريخ 16/03/2026</t>
  </si>
  <si>
    <t>اجازة عادية بتاريخ 07/03/2026</t>
  </si>
  <si>
    <t>اجازة عادية بتاريخ 06/03/2026</t>
  </si>
  <si>
    <t>اجازة عادية بتاريخ 11/03/2026</t>
  </si>
  <si>
    <t>شغال + اصابه عمل من تاريخ 1 حتى  5 / 03 / 2026</t>
  </si>
  <si>
    <t>اجازة طارئة بتاريخ 10/03/2026</t>
  </si>
  <si>
    <t xml:space="preserve"> </t>
  </si>
  <si>
    <t>March Incentives - 2026</t>
  </si>
  <si>
    <t>طريف أسامة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</si>
</sst>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4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Cambria"/>
      <family val="1"/>
    </font>
    <font>
      <b/>
      <sz val="14"/>
      <color theme="1"/>
      <name val="Cambria"/>
      <family val="1"/>
    </font>
    <font>
      <b/>
      <sz val="11"/>
      <color theme="1"/>
      <name val="Cambria"/>
      <family val="1"/>
    </font>
    <font>
      <b/>
      <sz val="10"/>
      <color theme="1"/>
      <name val="Cambria"/>
      <family val="1"/>
    </font>
    <font>
      <b/>
      <sz val="11"/>
      <color rgb="FFFF0000"/>
      <name val="Cambria"/>
      <family val="1"/>
    </font>
    <font>
      <b/>
      <sz val="11"/>
      <color rgb="FFC00000"/>
      <name val="Cambria"/>
      <family val="1"/>
    </font>
    <font>
      <b/>
      <sz val="11"/>
      <color theme="9" tint="-0.249977111117893"/>
      <name val="Cambria"/>
      <family val="1"/>
    </font>
    <font>
      <b/>
      <sz val="12"/>
      <color theme="1"/>
      <name val="Cambria"/>
      <family val="1"/>
    </font>
    <font>
      <sz val="12"/>
      <color theme="1"/>
      <name val="Cambria"/>
      <family val="1"/>
    </font>
    <font>
      <b/>
      <sz val="12"/>
      <color rgb="FFFF0000"/>
      <name val="Cambria"/>
      <family val="1"/>
    </font>
    <font>
      <b/>
      <sz val="12"/>
      <color rgb="FFC00000"/>
      <name val="Cambria"/>
      <family val="1"/>
    </font>
    <font>
      <b/>
      <u/>
      <sz val="14"/>
      <color theme="1"/>
      <name val="Cambria"/>
      <family val="1"/>
    </font>
    <font>
      <sz val="11"/>
      <color rgb="FF00B0F0"/>
      <name val="Cambria"/>
      <family val="1"/>
    </font>
    <font>
      <b/>
      <sz val="16"/>
      <color theme="1"/>
      <name val="Cambria"/>
      <family val="1"/>
    </font>
    <font>
      <sz val="11"/>
      <color theme="0"/>
      <name val="Cambria"/>
      <family val="1"/>
    </font>
    <font>
      <b/>
      <sz val="12"/>
      <color theme="0"/>
      <name val="Cambria"/>
      <family val="1"/>
    </font>
    <font>
      <b/>
      <sz val="11"/>
      <color rgb="FF002060"/>
      <name val="Cambria"/>
      <family val="1"/>
    </font>
    <font>
      <b/>
      <sz val="11"/>
      <color rgb="FF00B0F0"/>
      <name val="Cambria"/>
      <family val="1"/>
    </font>
    <font>
      <sz val="11"/>
      <color rgb="FFFF0000"/>
      <name val="Cambria"/>
      <family val="1"/>
    </font>
    <font>
      <b/>
      <sz val="11"/>
      <color rgb="FF0070C0"/>
      <name val="Cambria"/>
      <family val="1"/>
    </font>
    <font>
      <b/>
      <sz val="11"/>
      <color theme="0"/>
      <name val="Cambria"/>
      <family val="1"/>
    </font>
    <font>
      <b/>
      <sz val="11"/>
      <color rgb="FF00B050"/>
      <name val="Cambria"/>
      <family val="1"/>
    </font>
    <font>
      <b/>
      <sz val="10"/>
      <color theme="0"/>
      <name val="Cambria"/>
      <family val="1"/>
    </font>
    <font>
      <b/>
      <sz val="14"/>
      <color theme="0"/>
      <name val="Cambria"/>
      <family val="1"/>
    </font>
    <font>
      <sz val="10"/>
      <color theme="1"/>
      <name val="Cambria"/>
      <family val="1"/>
    </font>
    <font>
      <sz val="9"/>
      <color theme="1"/>
      <name val="Cambria"/>
      <family val="1"/>
    </font>
    <font>
      <sz val="11"/>
      <name val="Cambria"/>
      <family val="1"/>
    </font>
    <font>
      <b/>
      <sz val="11"/>
      <color rgb="FF7030A0"/>
      <name val="Cambria"/>
      <family val="1"/>
    </font>
    <font>
      <b/>
      <sz val="11"/>
      <name val="Cambria"/>
      <family val="1"/>
    </font>
    <font>
      <b/>
      <sz val="11"/>
      <color rgb="FF9966FF"/>
      <name val="Cambria"/>
      <family val="1"/>
    </font>
    <font>
      <sz val="11"/>
      <name val="Cambria"/>
      <family val="1"/>
    </font>
    <font>
      <b/>
      <sz val="11"/>
      <color theme="1"/>
      <name val="Cambria"/>
      <family val="1"/>
    </font>
    <font>
      <b/>
      <sz val="11"/>
      <color theme="9"/>
      <name val="Cambria"/>
      <family val="1"/>
    </font>
    <font>
      <sz val="11"/>
      <color theme="1"/>
      <name val="Cambria"/>
      <family val="1"/>
    </font>
    <font>
      <b/>
      <sz val="11"/>
      <color theme="9" tint="-0.249977111117893"/>
      <name val="Cambria"/>
      <family val="1"/>
    </font>
    <font>
      <sz val="11"/>
      <name val="Cambria"/>
      <family val="1"/>
    </font>
    <font>
      <b/>
      <sz val="12"/>
      <name val="Cambria"/>
      <family val="1"/>
    </font>
    <font>
      <sz val="12"/>
      <name val="Cambria"/>
      <family val="1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</cellStyleXfs>
  <cellXfs count="397">
    <xf numFmtId="0" fontId="0" fillId="0" borderId="0" xfId="0"/>
    <xf numFmtId="0" fontId="0" fillId="0" borderId="0" xfId="0" applyAlignment="1">
      <alignment horizontal="center" vertical="center"/>
    </xf>
    <xf numFmtId="0" fontId="4" fillId="11" borderId="7" xfId="0" applyFont="1" applyFill="1" applyBorder="1" applyAlignment="1">
      <alignment horizontal="center" vertical="center"/>
    </xf>
    <xf numFmtId="0" fontId="4" fillId="11" borderId="5" xfId="0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0" xfId="0" applyFont="1"/>
    <xf numFmtId="0" fontId="6" fillId="12" borderId="11" xfId="0" applyFont="1" applyFill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3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3" fontId="5" fillId="0" borderId="0" xfId="0" applyNumberFormat="1" applyFont="1"/>
    <xf numFmtId="3" fontId="7" fillId="0" borderId="0" xfId="0" applyNumberFormat="1" applyFont="1" applyAlignment="1">
      <alignment horizontal="center" vertical="center"/>
    </xf>
    <xf numFmtId="3" fontId="9" fillId="5" borderId="11" xfId="0" applyNumberFormat="1" applyFont="1" applyFill="1" applyBorder="1" applyAlignment="1">
      <alignment horizontal="center" vertical="center"/>
    </xf>
    <xf numFmtId="10" fontId="11" fillId="13" borderId="11" xfId="0" applyNumberFormat="1" applyFont="1" applyFill="1" applyBorder="1" applyAlignment="1">
      <alignment horizontal="center" vertical="center"/>
    </xf>
    <xf numFmtId="3" fontId="10" fillId="10" borderId="11" xfId="0" applyNumberFormat="1" applyFont="1" applyFill="1" applyBorder="1" applyAlignment="1">
      <alignment horizontal="center" vertical="center"/>
    </xf>
    <xf numFmtId="3" fontId="13" fillId="0" borderId="16" xfId="0" applyNumberFormat="1" applyFont="1" applyBorder="1" applyAlignment="1">
      <alignment horizontal="center" vertical="center"/>
    </xf>
    <xf numFmtId="3" fontId="13" fillId="0" borderId="9" xfId="0" applyNumberFormat="1" applyFont="1" applyBorder="1" applyAlignment="1">
      <alignment horizontal="center" vertical="center"/>
    </xf>
    <xf numFmtId="3" fontId="13" fillId="0" borderId="17" xfId="0" applyNumberFormat="1" applyFont="1" applyBorder="1" applyAlignment="1">
      <alignment horizontal="center" vertical="center"/>
    </xf>
    <xf numFmtId="0" fontId="14" fillId="15" borderId="12" xfId="0" applyFont="1" applyFill="1" applyBorder="1" applyAlignment="1">
      <alignment horizontal="center" vertical="center"/>
    </xf>
    <xf numFmtId="3" fontId="14" fillId="15" borderId="11" xfId="0" applyNumberFormat="1" applyFont="1" applyFill="1" applyBorder="1" applyAlignment="1">
      <alignment horizontal="center" vertical="center"/>
    </xf>
    <xf numFmtId="0" fontId="15" fillId="9" borderId="12" xfId="0" applyFont="1" applyFill="1" applyBorder="1" applyAlignment="1">
      <alignment horizontal="center" vertical="center"/>
    </xf>
    <xf numFmtId="3" fontId="15" fillId="9" borderId="11" xfId="0" applyNumberFormat="1" applyFont="1" applyFill="1" applyBorder="1" applyAlignment="1">
      <alignment horizontal="center" vertical="center"/>
    </xf>
    <xf numFmtId="10" fontId="15" fillId="12" borderId="1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0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/>
    </xf>
    <xf numFmtId="0" fontId="5" fillId="14" borderId="6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5" borderId="1" xfId="0" applyFont="1" applyFill="1" applyBorder="1" applyAlignment="1" applyProtection="1">
      <alignment horizontal="center" vertical="center"/>
      <protection locked="0"/>
    </xf>
    <xf numFmtId="10" fontId="17" fillId="0" borderId="1" xfId="0" applyNumberFormat="1" applyFont="1" applyBorder="1" applyAlignment="1">
      <alignment horizontal="center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18" fillId="0" borderId="0" xfId="0" applyFont="1" applyAlignment="1">
      <alignment horizontal="center" vertical="center"/>
    </xf>
    <xf numFmtId="0" fontId="5" fillId="16" borderId="0" xfId="0" applyFont="1" applyFill="1"/>
    <xf numFmtId="0" fontId="5" fillId="2" borderId="0" xfId="0" applyFont="1" applyFill="1"/>
    <xf numFmtId="0" fontId="12" fillId="0" borderId="0" xfId="0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0" fontId="12" fillId="0" borderId="0" xfId="0" applyFont="1" applyAlignment="1">
      <alignment horizontal="center" vertical="center"/>
    </xf>
    <xf numFmtId="17" fontId="12" fillId="0" borderId="0" xfId="0" applyNumberFormat="1" applyFont="1" applyAlignment="1">
      <alignment horizontal="center" vertical="center"/>
    </xf>
    <xf numFmtId="0" fontId="18" fillId="0" borderId="0" xfId="0" applyFont="1"/>
    <xf numFmtId="0" fontId="5" fillId="0" borderId="0" xfId="0" applyFont="1" applyAlignment="1">
      <alignment horizontal="centerContinuous"/>
    </xf>
    <xf numFmtId="0" fontId="12" fillId="0" borderId="0" xfId="0" applyFont="1" applyAlignment="1">
      <alignment horizontal="center"/>
    </xf>
    <xf numFmtId="0" fontId="19" fillId="16" borderId="0" xfId="0" applyFont="1" applyFill="1"/>
    <xf numFmtId="9" fontId="20" fillId="16" borderId="0" xfId="1" applyFont="1" applyFill="1" applyAlignment="1" applyProtection="1">
      <alignment horizontal="centerContinuous" vertical="center"/>
    </xf>
    <xf numFmtId="0" fontId="12" fillId="3" borderId="0" xfId="0" applyFont="1" applyFill="1" applyAlignment="1">
      <alignment horizontal="centerContinuous" vertical="center"/>
    </xf>
    <xf numFmtId="0" fontId="12" fillId="4" borderId="0" xfId="0" applyFont="1" applyFill="1" applyAlignment="1">
      <alignment horizontal="centerContinuous" vertical="center"/>
    </xf>
    <xf numFmtId="0" fontId="12" fillId="5" borderId="0" xfId="0" applyFont="1" applyFill="1" applyAlignment="1">
      <alignment horizontal="centerContinuous" vertical="center"/>
    </xf>
    <xf numFmtId="0" fontId="12" fillId="6" borderId="0" xfId="0" applyFont="1" applyFill="1" applyAlignment="1">
      <alignment horizontal="centerContinuous" vertical="center"/>
    </xf>
    <xf numFmtId="0" fontId="12" fillId="7" borderId="0" xfId="0" applyFont="1" applyFill="1" applyAlignment="1">
      <alignment horizontal="centerContinuous" vertical="center"/>
    </xf>
    <xf numFmtId="0" fontId="7" fillId="8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textRotation="90" wrapText="1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9" fontId="11" fillId="0" borderId="1" xfId="1" applyFont="1" applyFill="1" applyBorder="1" applyAlignment="1" applyProtection="1">
      <alignment horizontal="center"/>
    </xf>
    <xf numFmtId="0" fontId="5" fillId="0" borderId="1" xfId="0" applyFont="1" applyBorder="1"/>
    <xf numFmtId="0" fontId="11" fillId="0" borderId="1" xfId="0" applyFont="1" applyBorder="1" applyAlignment="1">
      <alignment horizontal="center"/>
    </xf>
    <xf numFmtId="3" fontId="21" fillId="0" borderId="1" xfId="0" applyNumberFormat="1" applyFont="1" applyBorder="1" applyAlignment="1">
      <alignment horizontal="center"/>
    </xf>
    <xf numFmtId="0" fontId="5" fillId="16" borderId="1" xfId="0" applyFont="1" applyFill="1" applyBorder="1" applyAlignment="1">
      <alignment horizontal="center"/>
    </xf>
    <xf numFmtId="0" fontId="5" fillId="16" borderId="1" xfId="0" applyFont="1" applyFill="1" applyBorder="1" applyAlignment="1">
      <alignment horizontal="center" vertical="center" wrapText="1"/>
    </xf>
    <xf numFmtId="0" fontId="5" fillId="16" borderId="1" xfId="0" applyFont="1" applyFill="1" applyBorder="1" applyAlignment="1">
      <alignment horizontal="center" vertical="center"/>
    </xf>
    <xf numFmtId="0" fontId="5" fillId="16" borderId="1" xfId="0" applyFont="1" applyFill="1" applyBorder="1" applyAlignment="1" applyProtection="1">
      <alignment horizontal="center" vertical="center" wrapText="1"/>
      <protection locked="0"/>
    </xf>
    <xf numFmtId="0" fontId="7" fillId="16" borderId="1" xfId="0" applyFont="1" applyFill="1" applyBorder="1" applyAlignment="1">
      <alignment horizontal="center"/>
    </xf>
    <xf numFmtId="9" fontId="11" fillId="16" borderId="1" xfId="1" applyFont="1" applyFill="1" applyBorder="1" applyAlignment="1" applyProtection="1">
      <alignment horizontal="center"/>
    </xf>
    <xf numFmtId="0" fontId="5" fillId="16" borderId="1" xfId="0" applyFont="1" applyFill="1" applyBorder="1"/>
    <xf numFmtId="10" fontId="17" fillId="16" borderId="1" xfId="0" applyNumberFormat="1" applyFont="1" applyFill="1" applyBorder="1" applyAlignment="1">
      <alignment horizontal="center"/>
    </xf>
    <xf numFmtId="3" fontId="21" fillId="16" borderId="1" xfId="0" applyNumberFormat="1" applyFont="1" applyFill="1" applyBorder="1" applyAlignment="1">
      <alignment horizontal="center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15" borderId="0" xfId="0" applyFont="1" applyFill="1"/>
    <xf numFmtId="0" fontId="7" fillId="16" borderId="0" xfId="0" applyFont="1" applyFill="1"/>
    <xf numFmtId="0" fontId="9" fillId="16" borderId="0" xfId="0" applyFont="1" applyFill="1"/>
    <xf numFmtId="0" fontId="5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5" fillId="16" borderId="1" xfId="0" applyFont="1" applyFill="1" applyBorder="1" applyAlignment="1" applyProtection="1">
      <alignment horizontal="center" vertical="center"/>
      <protection locked="0"/>
    </xf>
    <xf numFmtId="10" fontId="22" fillId="0" borderId="1" xfId="0" applyNumberFormat="1" applyFont="1" applyBorder="1" applyAlignment="1">
      <alignment horizontal="center"/>
    </xf>
    <xf numFmtId="0" fontId="23" fillId="16" borderId="0" xfId="0" applyFont="1" applyFill="1"/>
    <xf numFmtId="3" fontId="19" fillId="16" borderId="0" xfId="0" applyNumberFormat="1" applyFont="1" applyFill="1"/>
    <xf numFmtId="37" fontId="24" fillId="0" borderId="1" xfId="3" applyNumberFormat="1" applyFont="1" applyFill="1" applyBorder="1" applyAlignment="1" applyProtection="1">
      <alignment horizontal="center"/>
    </xf>
    <xf numFmtId="9" fontId="11" fillId="0" borderId="1" xfId="1" applyFont="1" applyBorder="1" applyAlignment="1" applyProtection="1">
      <alignment horizontal="center"/>
    </xf>
    <xf numFmtId="37" fontId="24" fillId="16" borderId="1" xfId="3" applyNumberFormat="1" applyFont="1" applyFill="1" applyBorder="1" applyAlignment="1" applyProtection="1">
      <alignment horizontal="center"/>
    </xf>
    <xf numFmtId="0" fontId="11" fillId="16" borderId="1" xfId="0" applyFont="1" applyFill="1" applyBorder="1" applyAlignment="1">
      <alignment horizontal="center"/>
    </xf>
    <xf numFmtId="10" fontId="22" fillId="16" borderId="1" xfId="0" applyNumberFormat="1" applyFont="1" applyFill="1" applyBorder="1" applyAlignment="1">
      <alignment horizontal="center"/>
    </xf>
    <xf numFmtId="0" fontId="5" fillId="18" borderId="0" xfId="0" applyFont="1" applyFill="1"/>
    <xf numFmtId="0" fontId="5" fillId="17" borderId="0" xfId="0" applyFont="1" applyFill="1"/>
    <xf numFmtId="0" fontId="5" fillId="10" borderId="0" xfId="0" applyFont="1" applyFill="1"/>
    <xf numFmtId="0" fontId="5" fillId="16" borderId="3" xfId="0" applyFont="1" applyFill="1" applyBorder="1"/>
    <xf numFmtId="0" fontId="5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7" fillId="5" borderId="1" xfId="0" applyFont="1" applyFill="1" applyBorder="1" applyAlignment="1">
      <alignment horizontal="center"/>
    </xf>
    <xf numFmtId="9" fontId="11" fillId="5" borderId="1" xfId="1" applyFont="1" applyFill="1" applyBorder="1" applyAlignment="1" applyProtection="1">
      <alignment horizontal="center"/>
    </xf>
    <xf numFmtId="0" fontId="5" fillId="5" borderId="1" xfId="0" applyFont="1" applyFill="1" applyBorder="1"/>
    <xf numFmtId="0" fontId="11" fillId="5" borderId="1" xfId="0" applyFont="1" applyFill="1" applyBorder="1" applyAlignment="1">
      <alignment horizontal="center"/>
    </xf>
    <xf numFmtId="10" fontId="22" fillId="5" borderId="1" xfId="0" applyNumberFormat="1" applyFont="1" applyFill="1" applyBorder="1" applyAlignment="1">
      <alignment horizontal="center"/>
    </xf>
    <xf numFmtId="37" fontId="24" fillId="5" borderId="1" xfId="3" applyNumberFormat="1" applyFont="1" applyFill="1" applyBorder="1" applyAlignment="1" applyProtection="1">
      <alignment horizontal="center"/>
    </xf>
    <xf numFmtId="0" fontId="7" fillId="0" borderId="1" xfId="0" applyFont="1" applyBorder="1" applyAlignment="1">
      <alignment horizontal="center" vertical="center" wrapText="1"/>
    </xf>
    <xf numFmtId="0" fontId="7" fillId="15" borderId="1" xfId="0" applyFont="1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 wrapText="1"/>
    </xf>
    <xf numFmtId="0" fontId="7" fillId="2" borderId="0" xfId="0" applyFont="1" applyFill="1"/>
    <xf numFmtId="3" fontId="25" fillId="16" borderId="0" xfId="0" applyNumberFormat="1" applyFont="1" applyFill="1"/>
    <xf numFmtId="3" fontId="9" fillId="2" borderId="0" xfId="0" applyNumberFormat="1" applyFont="1" applyFill="1" applyAlignment="1">
      <alignment horizontal="center"/>
    </xf>
    <xf numFmtId="0" fontId="5" fillId="16" borderId="0" xfId="0" applyFont="1" applyFill="1" applyAlignment="1">
      <alignment horizontal="center" vertical="center"/>
    </xf>
    <xf numFmtId="0" fontId="19" fillId="0" borderId="0" xfId="0" applyFont="1"/>
    <xf numFmtId="3" fontId="25" fillId="0" borderId="0" xfId="0" applyNumberFormat="1" applyFont="1" applyAlignment="1">
      <alignment horizontal="center"/>
    </xf>
    <xf numFmtId="0" fontId="25" fillId="0" borderId="0" xfId="0" applyFont="1"/>
    <xf numFmtId="3" fontId="19" fillId="16" borderId="0" xfId="0" applyNumberFormat="1" applyFont="1" applyFill="1" applyAlignment="1">
      <alignment horizontal="center" vertical="center"/>
    </xf>
    <xf numFmtId="9" fontId="11" fillId="16" borderId="1" xfId="1" applyFont="1" applyFill="1" applyBorder="1" applyAlignment="1" applyProtection="1">
      <alignment horizontal="center" vertical="center"/>
    </xf>
    <xf numFmtId="0" fontId="21" fillId="16" borderId="1" xfId="0" applyFont="1" applyFill="1" applyBorder="1" applyAlignment="1">
      <alignment horizontal="center" vertical="center"/>
    </xf>
    <xf numFmtId="3" fontId="26" fillId="16" borderId="1" xfId="0" applyNumberFormat="1" applyFont="1" applyFill="1" applyBorder="1" applyAlignment="1">
      <alignment horizontal="center" vertical="center"/>
    </xf>
    <xf numFmtId="9" fontId="11" fillId="0" borderId="1" xfId="1" applyFont="1" applyFill="1" applyBorder="1" applyAlignment="1" applyProtection="1">
      <alignment horizontal="center" vertical="center"/>
    </xf>
    <xf numFmtId="10" fontId="22" fillId="16" borderId="1" xfId="0" applyNumberFormat="1" applyFont="1" applyFill="1" applyBorder="1" applyAlignment="1">
      <alignment horizontal="center" vertical="center"/>
    </xf>
    <xf numFmtId="3" fontId="2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9" fontId="11" fillId="0" borderId="1" xfId="1" applyFont="1" applyBorder="1" applyAlignment="1" applyProtection="1">
      <alignment horizontal="center" vertical="center"/>
    </xf>
    <xf numFmtId="10" fontId="22" fillId="0" borderId="1" xfId="0" applyNumberFormat="1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9" fontId="20" fillId="16" borderId="0" xfId="1" applyFont="1" applyFill="1" applyBorder="1" applyAlignment="1" applyProtection="1">
      <alignment horizontal="center" vertical="center"/>
    </xf>
    <xf numFmtId="9" fontId="20" fillId="16" borderId="0" xfId="1" applyFont="1" applyFill="1" applyBorder="1" applyAlignment="1" applyProtection="1">
      <alignment horizontal="centerContinuous" vertical="center"/>
    </xf>
    <xf numFmtId="3" fontId="7" fillId="0" borderId="1" xfId="0" applyNumberFormat="1" applyFont="1" applyBorder="1" applyAlignment="1">
      <alignment horizontal="center"/>
    </xf>
    <xf numFmtId="0" fontId="9" fillId="2" borderId="0" xfId="0" applyFont="1" applyFill="1"/>
    <xf numFmtId="9" fontId="19" fillId="0" borderId="0" xfId="0" applyNumberFormat="1" applyFont="1"/>
    <xf numFmtId="9" fontId="5" fillId="0" borderId="0" xfId="0" applyNumberFormat="1" applyFont="1"/>
    <xf numFmtId="0" fontId="21" fillId="0" borderId="1" xfId="0" applyFont="1" applyBorder="1" applyAlignment="1">
      <alignment horizontal="center"/>
    </xf>
    <xf numFmtId="0" fontId="5" fillId="19" borderId="1" xfId="0" applyFont="1" applyFill="1" applyBorder="1" applyAlignment="1">
      <alignment horizontal="center" vertical="center" wrapText="1"/>
    </xf>
    <xf numFmtId="0" fontId="5" fillId="19" borderId="1" xfId="0" applyFont="1" applyFill="1" applyBorder="1" applyAlignment="1">
      <alignment horizontal="center" vertical="center"/>
    </xf>
    <xf numFmtId="0" fontId="5" fillId="19" borderId="1" xfId="0" applyFont="1" applyFill="1" applyBorder="1" applyAlignment="1" applyProtection="1">
      <alignment horizontal="center" vertical="center"/>
      <protection locked="0"/>
    </xf>
    <xf numFmtId="0" fontId="11" fillId="19" borderId="1" xfId="0" applyFont="1" applyFill="1" applyBorder="1" applyAlignment="1">
      <alignment horizontal="center"/>
    </xf>
    <xf numFmtId="10" fontId="22" fillId="19" borderId="1" xfId="0" applyNumberFormat="1" applyFont="1" applyFill="1" applyBorder="1" applyAlignment="1">
      <alignment horizontal="center"/>
    </xf>
    <xf numFmtId="0" fontId="5" fillId="19" borderId="0" xfId="0" applyFont="1" applyFill="1"/>
    <xf numFmtId="0" fontId="5" fillId="19" borderId="3" xfId="0" applyFont="1" applyFill="1" applyBorder="1"/>
    <xf numFmtId="0" fontId="5" fillId="0" borderId="19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/>
    </xf>
    <xf numFmtId="10" fontId="22" fillId="0" borderId="19" xfId="0" applyNumberFormat="1" applyFont="1" applyBorder="1" applyAlignment="1">
      <alignment horizontal="center"/>
    </xf>
    <xf numFmtId="0" fontId="7" fillId="16" borderId="1" xfId="0" applyFont="1" applyFill="1" applyBorder="1" applyAlignment="1" applyProtection="1">
      <alignment horizontal="center" vertical="center" wrapText="1"/>
      <protection locked="0"/>
    </xf>
    <xf numFmtId="0" fontId="11" fillId="16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0" fontId="18" fillId="0" borderId="0" xfId="0" applyFont="1" applyAlignment="1">
      <alignment vertical="center"/>
    </xf>
    <xf numFmtId="0" fontId="19" fillId="16" borderId="0" xfId="0" applyFont="1" applyFill="1" applyAlignment="1">
      <alignment horizontal="center"/>
    </xf>
    <xf numFmtId="3" fontId="19" fillId="16" borderId="0" xfId="0" applyNumberFormat="1" applyFont="1" applyFill="1" applyAlignment="1">
      <alignment horizontal="center"/>
    </xf>
    <xf numFmtId="0" fontId="18" fillId="16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Continuous" vertical="center"/>
    </xf>
    <xf numFmtId="0" fontId="5" fillId="16" borderId="0" xfId="0" applyFont="1" applyFill="1" applyAlignment="1">
      <alignment horizontal="centerContinuous" vertical="center"/>
    </xf>
    <xf numFmtId="0" fontId="12" fillId="16" borderId="0" xfId="0" applyFont="1" applyFill="1" applyAlignment="1">
      <alignment horizontal="center" vertical="center"/>
    </xf>
    <xf numFmtId="17" fontId="12" fillId="16" borderId="0" xfId="0" applyNumberFormat="1" applyFont="1" applyFill="1" applyAlignment="1">
      <alignment horizontal="center" vertical="center"/>
    </xf>
    <xf numFmtId="0" fontId="18" fillId="16" borderId="0" xfId="0" applyFont="1" applyFill="1"/>
    <xf numFmtId="0" fontId="5" fillId="16" borderId="0" xfId="0" applyFont="1" applyFill="1" applyAlignment="1">
      <alignment horizontal="centerContinuous"/>
    </xf>
    <xf numFmtId="0" fontId="18" fillId="16" borderId="0" xfId="0" applyFont="1" applyFill="1" applyAlignment="1">
      <alignment vertical="center"/>
    </xf>
    <xf numFmtId="0" fontId="12" fillId="16" borderId="0" xfId="0" applyFont="1" applyFill="1"/>
    <xf numFmtId="9" fontId="27" fillId="16" borderId="0" xfId="0" applyNumberFormat="1" applyFont="1" applyFill="1"/>
    <xf numFmtId="9" fontId="27" fillId="16" borderId="0" xfId="0" applyNumberFormat="1" applyFont="1" applyFill="1" applyAlignment="1">
      <alignment vertical="center"/>
    </xf>
    <xf numFmtId="3" fontId="25" fillId="16" borderId="0" xfId="0" applyNumberFormat="1" applyFont="1" applyFill="1" applyAlignment="1">
      <alignment horizontal="center"/>
    </xf>
    <xf numFmtId="0" fontId="28" fillId="20" borderId="12" xfId="0" applyFont="1" applyFill="1" applyBorder="1" applyAlignment="1">
      <alignment horizontal="center" vertical="center"/>
    </xf>
    <xf numFmtId="16" fontId="28" fillId="20" borderId="11" xfId="0" applyNumberFormat="1" applyFont="1" applyFill="1" applyBorder="1" applyAlignment="1">
      <alignment horizontal="center" vertical="center"/>
    </xf>
    <xf numFmtId="0" fontId="28" fillId="20" borderId="11" xfId="0" applyFont="1" applyFill="1" applyBorder="1" applyAlignment="1">
      <alignment horizontal="center" vertical="center"/>
    </xf>
    <xf numFmtId="0" fontId="20" fillId="20" borderId="12" xfId="0" applyFont="1" applyFill="1" applyBorder="1" applyAlignment="1">
      <alignment horizontal="center" vertical="center"/>
    </xf>
    <xf numFmtId="10" fontId="20" fillId="20" borderId="1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5" fillId="8" borderId="1" xfId="0" applyFont="1" applyFill="1" applyBorder="1" applyAlignment="1">
      <alignment horizontal="center" vertical="center"/>
    </xf>
    <xf numFmtId="164" fontId="9" fillId="2" borderId="0" xfId="3" applyNumberFormat="1" applyFont="1" applyFill="1"/>
    <xf numFmtId="164" fontId="9" fillId="2" borderId="0" xfId="3" applyNumberFormat="1" applyFont="1" applyFill="1" applyAlignment="1">
      <alignment horizontal="center" vertical="center"/>
    </xf>
    <xf numFmtId="3" fontId="5" fillId="2" borderId="0" xfId="0" applyNumberFormat="1" applyFont="1" applyFill="1"/>
    <xf numFmtId="3" fontId="9" fillId="2" borderId="0" xfId="0" applyNumberFormat="1" applyFont="1" applyFill="1"/>
    <xf numFmtId="3" fontId="9" fillId="16" borderId="0" xfId="0" applyNumberFormat="1" applyFont="1" applyFill="1"/>
    <xf numFmtId="0" fontId="8" fillId="8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textRotation="90" wrapText="1"/>
    </xf>
    <xf numFmtId="0" fontId="29" fillId="2" borderId="0" xfId="0" applyFont="1" applyFill="1"/>
    <xf numFmtId="43" fontId="8" fillId="8" borderId="1" xfId="3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29" fillId="16" borderId="0" xfId="0" applyFont="1" applyFill="1"/>
    <xf numFmtId="0" fontId="5" fillId="19" borderId="1" xfId="0" applyFont="1" applyFill="1" applyBorder="1" applyAlignment="1" applyProtection="1">
      <alignment horizontal="center" vertical="center" wrapText="1"/>
      <protection locked="0"/>
    </xf>
    <xf numFmtId="37" fontId="24" fillId="19" borderId="1" xfId="3" applyNumberFormat="1" applyFont="1" applyFill="1" applyBorder="1" applyAlignment="1" applyProtection="1">
      <alignment horizontal="center"/>
    </xf>
    <xf numFmtId="0" fontId="5" fillId="16" borderId="19" xfId="0" applyFont="1" applyFill="1" applyBorder="1" applyAlignment="1">
      <alignment horizontal="center" vertical="center" wrapText="1"/>
    </xf>
    <xf numFmtId="0" fontId="5" fillId="16" borderId="19" xfId="0" applyFont="1" applyFill="1" applyBorder="1" applyAlignment="1">
      <alignment horizontal="center" vertical="center"/>
    </xf>
    <xf numFmtId="0" fontId="5" fillId="16" borderId="19" xfId="0" applyFont="1" applyFill="1" applyBorder="1" applyAlignment="1" applyProtection="1">
      <alignment horizontal="center" vertical="center"/>
      <protection locked="0"/>
    </xf>
    <xf numFmtId="0" fontId="11" fillId="16" borderId="19" xfId="0" applyFont="1" applyFill="1" applyBorder="1" applyAlignment="1">
      <alignment horizontal="center"/>
    </xf>
    <xf numFmtId="10" fontId="22" fillId="16" borderId="19" xfId="0" applyNumberFormat="1" applyFont="1" applyFill="1" applyBorder="1" applyAlignment="1">
      <alignment horizontal="center"/>
    </xf>
    <xf numFmtId="37" fontId="24" fillId="16" borderId="19" xfId="3" applyNumberFormat="1" applyFont="1" applyFill="1" applyBorder="1" applyAlignment="1" applyProtection="1">
      <alignment horizontal="center"/>
    </xf>
    <xf numFmtId="0" fontId="7" fillId="19" borderId="1" xfId="0" applyFont="1" applyFill="1" applyBorder="1" applyAlignment="1">
      <alignment horizontal="center" vertical="center"/>
    </xf>
    <xf numFmtId="0" fontId="21" fillId="16" borderId="1" xfId="0" applyFont="1" applyFill="1" applyBorder="1" applyAlignment="1">
      <alignment horizontal="center"/>
    </xf>
    <xf numFmtId="3" fontId="7" fillId="16" borderId="1" xfId="0" applyNumberFormat="1" applyFont="1" applyFill="1" applyBorder="1" applyAlignment="1">
      <alignment horizontal="center"/>
    </xf>
    <xf numFmtId="0" fontId="30" fillId="16" borderId="1" xfId="0" applyFont="1" applyFill="1" applyBorder="1" applyAlignment="1">
      <alignment horizontal="center" vertical="center" wrapText="1"/>
    </xf>
    <xf numFmtId="3" fontId="21" fillId="19" borderId="1" xfId="0" applyNumberFormat="1" applyFont="1" applyFill="1" applyBorder="1" applyAlignment="1">
      <alignment horizontal="center"/>
    </xf>
    <xf numFmtId="0" fontId="9" fillId="16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3" fontId="21" fillId="5" borderId="1" xfId="0" applyNumberFormat="1" applyFont="1" applyFill="1" applyBorder="1" applyAlignment="1">
      <alignment horizontal="center"/>
    </xf>
    <xf numFmtId="3" fontId="9" fillId="16" borderId="0" xfId="0" applyNumberFormat="1" applyFont="1" applyFill="1" applyAlignment="1">
      <alignment horizontal="center"/>
    </xf>
    <xf numFmtId="0" fontId="31" fillId="0" borderId="1" xfId="0" applyFont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/>
    </xf>
    <xf numFmtId="0" fontId="5" fillId="0" borderId="18" xfId="0" applyFont="1" applyBorder="1"/>
    <xf numFmtId="0" fontId="21" fillId="16" borderId="1" xfId="0" applyFont="1" applyFill="1" applyBorder="1"/>
    <xf numFmtId="3" fontId="11" fillId="16" borderId="1" xfId="0" applyNumberFormat="1" applyFont="1" applyFill="1" applyBorder="1" applyAlignment="1">
      <alignment horizontal="center"/>
    </xf>
    <xf numFmtId="10" fontId="17" fillId="16" borderId="18" xfId="0" applyNumberFormat="1" applyFont="1" applyFill="1" applyBorder="1" applyAlignment="1">
      <alignment horizontal="center"/>
    </xf>
    <xf numFmtId="3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9" fontId="7" fillId="16" borderId="1" xfId="1" applyFont="1" applyFill="1" applyBorder="1" applyAlignment="1" applyProtection="1">
      <alignment horizontal="center"/>
    </xf>
    <xf numFmtId="3" fontId="25" fillId="16" borderId="1" xfId="0" applyNumberFormat="1" applyFont="1" applyFill="1" applyBorder="1" applyAlignment="1">
      <alignment horizontal="center"/>
    </xf>
    <xf numFmtId="9" fontId="12" fillId="16" borderId="0" xfId="1" applyFont="1" applyFill="1" applyAlignment="1" applyProtection="1">
      <alignment horizontal="centerContinuous" vertical="center"/>
    </xf>
    <xf numFmtId="0" fontId="7" fillId="16" borderId="4" xfId="0" applyFont="1" applyFill="1" applyBorder="1" applyAlignment="1">
      <alignment horizontal="center"/>
    </xf>
    <xf numFmtId="0" fontId="11" fillId="16" borderId="4" xfId="0" applyFont="1" applyFill="1" applyBorder="1" applyAlignment="1">
      <alignment horizontal="center"/>
    </xf>
    <xf numFmtId="10" fontId="17" fillId="16" borderId="4" xfId="0" applyNumberFormat="1" applyFont="1" applyFill="1" applyBorder="1" applyAlignment="1">
      <alignment horizontal="center"/>
    </xf>
    <xf numFmtId="3" fontId="11" fillId="16" borderId="4" xfId="0" applyNumberFormat="1" applyFont="1" applyFill="1" applyBorder="1" applyAlignment="1">
      <alignment horizontal="center"/>
    </xf>
    <xf numFmtId="0" fontId="5" fillId="16" borderId="4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 vertical="center"/>
    </xf>
    <xf numFmtId="10" fontId="17" fillId="5" borderId="1" xfId="0" applyNumberFormat="1" applyFont="1" applyFill="1" applyBorder="1" applyAlignment="1">
      <alignment horizontal="center"/>
    </xf>
    <xf numFmtId="0" fontId="5" fillId="16" borderId="0" xfId="0" applyFont="1" applyFill="1" applyAlignment="1">
      <alignment horizontal="center"/>
    </xf>
    <xf numFmtId="0" fontId="11" fillId="16" borderId="0" xfId="0" applyFont="1" applyFill="1" applyAlignment="1">
      <alignment horizontal="center"/>
    </xf>
    <xf numFmtId="10" fontId="17" fillId="16" borderId="0" xfId="0" applyNumberFormat="1" applyFont="1" applyFill="1" applyAlignment="1">
      <alignment horizontal="center"/>
    </xf>
    <xf numFmtId="3" fontId="21" fillId="16" borderId="0" xfId="0" applyNumberFormat="1" applyFont="1" applyFill="1" applyAlignment="1">
      <alignment horizontal="center"/>
    </xf>
    <xf numFmtId="9" fontId="7" fillId="0" borderId="1" xfId="1" applyFont="1" applyFill="1" applyBorder="1" applyAlignment="1" applyProtection="1">
      <alignment horizontal="center"/>
    </xf>
    <xf numFmtId="3" fontId="11" fillId="0" borderId="1" xfId="0" applyNumberFormat="1" applyFont="1" applyBorder="1" applyAlignment="1">
      <alignment horizontal="center"/>
    </xf>
    <xf numFmtId="3" fontId="32" fillId="0" borderId="1" xfId="0" applyNumberFormat="1" applyFont="1" applyBorder="1" applyAlignment="1">
      <alignment horizontal="center"/>
    </xf>
    <xf numFmtId="3" fontId="32" fillId="16" borderId="1" xfId="0" applyNumberFormat="1" applyFont="1" applyFill="1" applyBorder="1" applyAlignment="1">
      <alignment horizontal="center"/>
    </xf>
    <xf numFmtId="3" fontId="32" fillId="19" borderId="1" xfId="0" applyNumberFormat="1" applyFont="1" applyFill="1" applyBorder="1" applyAlignment="1">
      <alignment horizontal="center"/>
    </xf>
    <xf numFmtId="3" fontId="32" fillId="5" borderId="1" xfId="0" applyNumberFormat="1" applyFont="1" applyFill="1" applyBorder="1" applyAlignment="1">
      <alignment horizontal="center"/>
    </xf>
    <xf numFmtId="0" fontId="32" fillId="16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center"/>
    </xf>
    <xf numFmtId="37" fontId="32" fillId="16" borderId="1" xfId="3" applyNumberFormat="1" applyFont="1" applyFill="1" applyBorder="1" applyAlignment="1" applyProtection="1">
      <alignment horizontal="center"/>
    </xf>
    <xf numFmtId="37" fontId="32" fillId="0" borderId="1" xfId="3" applyNumberFormat="1" applyFont="1" applyFill="1" applyBorder="1" applyAlignment="1" applyProtection="1">
      <alignment horizontal="center"/>
    </xf>
    <xf numFmtId="37" fontId="32" fillId="19" borderId="1" xfId="3" applyNumberFormat="1" applyFont="1" applyFill="1" applyBorder="1" applyAlignment="1" applyProtection="1">
      <alignment horizontal="center"/>
    </xf>
    <xf numFmtId="37" fontId="32" fillId="16" borderId="19" xfId="3" applyNumberFormat="1" applyFont="1" applyFill="1" applyBorder="1" applyAlignment="1" applyProtection="1">
      <alignment horizontal="center"/>
    </xf>
    <xf numFmtId="37" fontId="32" fillId="5" borderId="1" xfId="3" applyNumberFormat="1" applyFont="1" applyFill="1" applyBorder="1" applyAlignment="1" applyProtection="1">
      <alignment horizontal="center"/>
    </xf>
    <xf numFmtId="3" fontId="11" fillId="16" borderId="0" xfId="0" applyNumberFormat="1" applyFont="1" applyFill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31" fillId="5" borderId="1" xfId="0" applyFont="1" applyFill="1" applyBorder="1" applyAlignment="1">
      <alignment horizontal="center"/>
    </xf>
    <xf numFmtId="10" fontId="31" fillId="5" borderId="1" xfId="0" applyNumberFormat="1" applyFont="1" applyFill="1" applyBorder="1" applyAlignment="1">
      <alignment horizontal="center"/>
    </xf>
    <xf numFmtId="3" fontId="31" fillId="5" borderId="1" xfId="0" applyNumberFormat="1" applyFont="1" applyFill="1" applyBorder="1" applyAlignment="1">
      <alignment horizontal="center"/>
    </xf>
    <xf numFmtId="3" fontId="33" fillId="5" borderId="1" xfId="0" applyNumberFormat="1" applyFont="1" applyFill="1" applyBorder="1" applyAlignment="1">
      <alignment horizontal="center"/>
    </xf>
    <xf numFmtId="0" fontId="31" fillId="5" borderId="1" xfId="0" applyFont="1" applyFill="1" applyBorder="1" applyAlignment="1">
      <alignment horizontal="center" vertical="center" wrapText="1"/>
    </xf>
    <xf numFmtId="0" fontId="31" fillId="5" borderId="1" xfId="0" applyFont="1" applyFill="1" applyBorder="1" applyAlignment="1">
      <alignment horizontal="center" vertical="center"/>
    </xf>
    <xf numFmtId="0" fontId="31" fillId="5" borderId="1" xfId="0" applyFont="1" applyFill="1" applyBorder="1" applyAlignment="1" applyProtection="1">
      <alignment horizontal="center" vertical="center" wrapText="1"/>
      <protection locked="0"/>
    </xf>
    <xf numFmtId="9" fontId="31" fillId="5" borderId="1" xfId="1" applyFont="1" applyFill="1" applyBorder="1" applyAlignment="1" applyProtection="1">
      <alignment horizontal="center"/>
    </xf>
    <xf numFmtId="0" fontId="31" fillId="5" borderId="1" xfId="0" applyFont="1" applyFill="1" applyBorder="1"/>
    <xf numFmtId="0" fontId="5" fillId="4" borderId="1" xfId="0" applyFont="1" applyFill="1" applyBorder="1" applyAlignment="1" applyProtection="1">
      <alignment horizontal="center" vertical="center"/>
      <protection locked="0"/>
    </xf>
    <xf numFmtId="0" fontId="23" fillId="5" borderId="1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Alignment="1">
      <alignment horizontal="center"/>
    </xf>
    <xf numFmtId="0" fontId="7" fillId="19" borderId="1" xfId="0" applyFont="1" applyFill="1" applyBorder="1" applyAlignment="1">
      <alignment horizontal="center"/>
    </xf>
    <xf numFmtId="9" fontId="11" fillId="19" borderId="1" xfId="1" applyFont="1" applyFill="1" applyBorder="1" applyAlignment="1" applyProtection="1">
      <alignment horizontal="center"/>
    </xf>
    <xf numFmtId="0" fontId="5" fillId="19" borderId="1" xfId="0" applyFont="1" applyFill="1" applyBorder="1"/>
    <xf numFmtId="10" fontId="17" fillId="19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16" borderId="1" xfId="0" applyFont="1" applyFill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  <protection locked="0"/>
    </xf>
    <xf numFmtId="3" fontId="7" fillId="19" borderId="1" xfId="0" applyNumberFormat="1" applyFont="1" applyFill="1" applyBorder="1" applyAlignment="1">
      <alignment horizontal="center"/>
    </xf>
    <xf numFmtId="0" fontId="11" fillId="19" borderId="1" xfId="0" applyFont="1" applyFill="1" applyBorder="1" applyAlignment="1">
      <alignment horizontal="center" vertical="center"/>
    </xf>
    <xf numFmtId="3" fontId="34" fillId="16" borderId="1" xfId="0" applyNumberFormat="1" applyFont="1" applyFill="1" applyBorder="1" applyAlignment="1">
      <alignment horizontal="center"/>
    </xf>
    <xf numFmtId="0" fontId="36" fillId="16" borderId="1" xfId="0" applyFont="1" applyFill="1" applyBorder="1" applyAlignment="1" applyProtection="1">
      <alignment horizontal="center" vertical="center" wrapText="1"/>
      <protection locked="0"/>
    </xf>
    <xf numFmtId="0" fontId="36" fillId="0" borderId="1" xfId="0" applyFont="1" applyBorder="1" applyAlignment="1" applyProtection="1">
      <alignment horizontal="center" vertical="center" wrapText="1"/>
      <protection locked="0"/>
    </xf>
    <xf numFmtId="0" fontId="36" fillId="0" borderId="19" xfId="0" applyFont="1" applyBorder="1" applyAlignment="1" applyProtection="1">
      <alignment horizontal="center" vertical="center" wrapText="1"/>
      <protection locked="0"/>
    </xf>
    <xf numFmtId="0" fontId="5" fillId="5" borderId="0" xfId="0" applyFont="1" applyFill="1"/>
    <xf numFmtId="0" fontId="12" fillId="0" borderId="13" xfId="0" applyFont="1" applyBorder="1" applyAlignment="1">
      <alignment horizontal="center" vertical="center"/>
    </xf>
    <xf numFmtId="0" fontId="5" fillId="0" borderId="1" xfId="0" applyFont="1" applyBorder="1" applyAlignment="1">
      <alignment horizontal="right" vertical="center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0" fontId="7" fillId="6" borderId="1" xfId="0" applyFont="1" applyFill="1" applyBorder="1" applyAlignment="1">
      <alignment horizontal="center"/>
    </xf>
    <xf numFmtId="9" fontId="11" fillId="6" borderId="1" xfId="1" applyFont="1" applyFill="1" applyBorder="1" applyAlignment="1" applyProtection="1">
      <alignment horizontal="center"/>
    </xf>
    <xf numFmtId="0" fontId="5" fillId="6" borderId="1" xfId="0" applyFont="1" applyFill="1" applyBorder="1"/>
    <xf numFmtId="0" fontId="11" fillId="6" borderId="1" xfId="0" applyFont="1" applyFill="1" applyBorder="1" applyAlignment="1">
      <alignment horizontal="center"/>
    </xf>
    <xf numFmtId="10" fontId="17" fillId="6" borderId="1" xfId="0" applyNumberFormat="1" applyFont="1" applyFill="1" applyBorder="1" applyAlignment="1">
      <alignment horizontal="center"/>
    </xf>
    <xf numFmtId="3" fontId="21" fillId="6" borderId="1" xfId="0" applyNumberFormat="1" applyFont="1" applyFill="1" applyBorder="1" applyAlignment="1">
      <alignment horizontal="center"/>
    </xf>
    <xf numFmtId="3" fontId="32" fillId="6" borderId="1" xfId="0" applyNumberFormat="1" applyFont="1" applyFill="1" applyBorder="1" applyAlignment="1">
      <alignment horizontal="center"/>
    </xf>
    <xf numFmtId="0" fontId="37" fillId="0" borderId="1" xfId="0" applyFont="1" applyBorder="1" applyAlignment="1">
      <alignment horizontal="center"/>
    </xf>
    <xf numFmtId="0" fontId="37" fillId="16" borderId="1" xfId="0" applyFont="1" applyFill="1" applyBorder="1" applyAlignment="1">
      <alignment horizontal="center"/>
    </xf>
    <xf numFmtId="0" fontId="7" fillId="19" borderId="1" xfId="0" applyFont="1" applyFill="1" applyBorder="1" applyAlignment="1" applyProtection="1">
      <alignment horizontal="center" vertical="center" wrapText="1"/>
      <protection locked="0"/>
    </xf>
    <xf numFmtId="9" fontId="11" fillId="19" borderId="1" xfId="1" applyFont="1" applyFill="1" applyBorder="1" applyAlignment="1" applyProtection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10" fontId="22" fillId="19" borderId="1" xfId="0" applyNumberFormat="1" applyFont="1" applyFill="1" applyBorder="1" applyAlignment="1">
      <alignment horizontal="center" vertical="center"/>
    </xf>
    <xf numFmtId="3" fontId="26" fillId="19" borderId="1" xfId="0" applyNumberFormat="1" applyFont="1" applyFill="1" applyBorder="1" applyAlignment="1">
      <alignment horizontal="center" vertical="center"/>
    </xf>
    <xf numFmtId="0" fontId="37" fillId="19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/>
    </xf>
    <xf numFmtId="9" fontId="11" fillId="4" borderId="1" xfId="1" applyFont="1" applyFill="1" applyBorder="1" applyAlignment="1" applyProtection="1">
      <alignment horizontal="center"/>
    </xf>
    <xf numFmtId="0" fontId="5" fillId="4" borderId="1" xfId="0" applyFont="1" applyFill="1" applyBorder="1"/>
    <xf numFmtId="0" fontId="7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/>
    </xf>
    <xf numFmtId="10" fontId="22" fillId="4" borderId="1" xfId="0" applyNumberFormat="1" applyFont="1" applyFill="1" applyBorder="1" applyAlignment="1">
      <alignment horizontal="center"/>
    </xf>
    <xf numFmtId="3" fontId="21" fillId="4" borderId="1" xfId="0" applyNumberFormat="1" applyFont="1" applyFill="1" applyBorder="1" applyAlignment="1">
      <alignment horizontal="center"/>
    </xf>
    <xf numFmtId="3" fontId="32" fillId="4" borderId="1" xfId="0" applyNumberFormat="1" applyFont="1" applyFill="1" applyBorder="1" applyAlignment="1">
      <alignment horizontal="center"/>
    </xf>
    <xf numFmtId="10" fontId="22" fillId="6" borderId="1" xfId="0" applyNumberFormat="1" applyFont="1" applyFill="1" applyBorder="1" applyAlignment="1">
      <alignment horizontal="center"/>
    </xf>
    <xf numFmtId="37" fontId="24" fillId="6" borderId="1" xfId="3" applyNumberFormat="1" applyFont="1" applyFill="1" applyBorder="1" applyAlignment="1" applyProtection="1">
      <alignment horizontal="center"/>
    </xf>
    <xf numFmtId="37" fontId="32" fillId="6" borderId="1" xfId="3" applyNumberFormat="1" applyFont="1" applyFill="1" applyBorder="1" applyAlignment="1" applyProtection="1">
      <alignment horizontal="center"/>
    </xf>
    <xf numFmtId="0" fontId="36" fillId="6" borderId="1" xfId="0" applyFont="1" applyFill="1" applyBorder="1" applyAlignment="1" applyProtection="1">
      <alignment horizontal="center" vertical="center" wrapText="1"/>
      <protection locked="0"/>
    </xf>
    <xf numFmtId="0" fontId="7" fillId="6" borderId="1" xfId="0" applyFont="1" applyFill="1" applyBorder="1" applyAlignment="1">
      <alignment horizontal="center" vertical="center"/>
    </xf>
    <xf numFmtId="9" fontId="11" fillId="6" borderId="1" xfId="1" applyFont="1" applyFill="1" applyBorder="1" applyAlignment="1" applyProtection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0" fontId="22" fillId="6" borderId="1" xfId="0" applyNumberFormat="1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/>
    </xf>
    <xf numFmtId="0" fontId="31" fillId="6" borderId="1" xfId="0" applyFont="1" applyFill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0" fontId="31" fillId="6" borderId="1" xfId="0" applyFont="1" applyFill="1" applyBorder="1" applyAlignment="1" applyProtection="1">
      <alignment horizontal="center" vertical="center"/>
      <protection locked="0"/>
    </xf>
    <xf numFmtId="0" fontId="31" fillId="6" borderId="1" xfId="0" applyFont="1" applyFill="1" applyBorder="1" applyAlignment="1" applyProtection="1">
      <alignment horizontal="center" vertical="center" wrapText="1"/>
      <protection locked="0"/>
    </xf>
    <xf numFmtId="0" fontId="33" fillId="6" borderId="1" xfId="0" applyFont="1" applyFill="1" applyBorder="1" applyAlignment="1">
      <alignment horizontal="center"/>
    </xf>
    <xf numFmtId="9" fontId="33" fillId="6" borderId="1" xfId="1" applyFont="1" applyFill="1" applyBorder="1" applyAlignment="1" applyProtection="1">
      <alignment horizontal="center"/>
    </xf>
    <xf numFmtId="0" fontId="31" fillId="6" borderId="1" xfId="0" applyFont="1" applyFill="1" applyBorder="1" applyAlignment="1">
      <alignment horizontal="center"/>
    </xf>
    <xf numFmtId="0" fontId="33" fillId="6" borderId="1" xfId="0" applyFont="1" applyFill="1" applyBorder="1" applyAlignment="1">
      <alignment horizontal="center" vertical="center"/>
    </xf>
    <xf numFmtId="10" fontId="31" fillId="6" borderId="1" xfId="0" applyNumberFormat="1" applyFont="1" applyFill="1" applyBorder="1" applyAlignment="1">
      <alignment horizontal="center"/>
    </xf>
    <xf numFmtId="0" fontId="33" fillId="6" borderId="1" xfId="0" applyFont="1" applyFill="1" applyBorder="1"/>
    <xf numFmtId="0" fontId="31" fillId="6" borderId="0" xfId="0" applyFont="1" applyFill="1"/>
    <xf numFmtId="3" fontId="33" fillId="6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 applyProtection="1">
      <alignment horizontal="center" vertical="center" wrapText="1"/>
      <protection locked="0"/>
    </xf>
    <xf numFmtId="0" fontId="11" fillId="4" borderId="1" xfId="0" applyFont="1" applyFill="1" applyBorder="1" applyAlignment="1">
      <alignment horizontal="center" vertical="center"/>
    </xf>
    <xf numFmtId="10" fontId="17" fillId="4" borderId="1" xfId="0" applyNumberFormat="1" applyFont="1" applyFill="1" applyBorder="1" applyAlignment="1">
      <alignment horizontal="center"/>
    </xf>
    <xf numFmtId="37" fontId="24" fillId="4" borderId="1" xfId="3" applyNumberFormat="1" applyFont="1" applyFill="1" applyBorder="1" applyAlignment="1" applyProtection="1">
      <alignment horizontal="center"/>
    </xf>
    <xf numFmtId="37" fontId="32" fillId="4" borderId="1" xfId="3" applyNumberFormat="1" applyFont="1" applyFill="1" applyBorder="1" applyAlignment="1" applyProtection="1">
      <alignment horizontal="center"/>
    </xf>
    <xf numFmtId="9" fontId="11" fillId="4" borderId="1" xfId="1" applyFont="1" applyFill="1" applyBorder="1" applyAlignment="1" applyProtection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10" fontId="22" fillId="4" borderId="1" xfId="0" applyNumberFormat="1" applyFont="1" applyFill="1" applyBorder="1" applyAlignment="1">
      <alignment horizontal="center" vertical="center"/>
    </xf>
    <xf numFmtId="3" fontId="26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32" fillId="4" borderId="1" xfId="0" applyFont="1" applyFill="1" applyBorder="1" applyAlignment="1">
      <alignment horizontal="center"/>
    </xf>
    <xf numFmtId="9" fontId="7" fillId="5" borderId="1" xfId="1" applyFont="1" applyFill="1" applyBorder="1" applyAlignment="1" applyProtection="1">
      <alignment horizontal="center"/>
    </xf>
    <xf numFmtId="0" fontId="7" fillId="5" borderId="1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/>
    </xf>
    <xf numFmtId="0" fontId="11" fillId="5" borderId="0" xfId="0" applyFont="1" applyFill="1" applyAlignment="1">
      <alignment horizontal="center"/>
    </xf>
    <xf numFmtId="10" fontId="17" fillId="5" borderId="0" xfId="0" applyNumberFormat="1" applyFont="1" applyFill="1" applyAlignment="1">
      <alignment horizontal="center"/>
    </xf>
    <xf numFmtId="3" fontId="21" fillId="5" borderId="0" xfId="0" applyNumberFormat="1" applyFont="1" applyFill="1" applyAlignment="1">
      <alignment horizontal="center"/>
    </xf>
    <xf numFmtId="0" fontId="38" fillId="0" borderId="1" xfId="0" applyFont="1" applyBorder="1" applyAlignment="1">
      <alignment horizontal="center" vertical="center"/>
    </xf>
    <xf numFmtId="0" fontId="38" fillId="16" borderId="1" xfId="0" applyFont="1" applyFill="1" applyBorder="1" applyAlignment="1">
      <alignment horizontal="center" vertical="center"/>
    </xf>
    <xf numFmtId="0" fontId="38" fillId="4" borderId="1" xfId="0" applyFont="1" applyFill="1" applyBorder="1" applyAlignment="1">
      <alignment horizontal="center" vertical="center"/>
    </xf>
    <xf numFmtId="0" fontId="38" fillId="6" borderId="1" xfId="0" applyFont="1" applyFill="1" applyBorder="1" applyAlignment="1" applyProtection="1">
      <alignment horizontal="center" vertical="center"/>
      <protection locked="0"/>
    </xf>
    <xf numFmtId="0" fontId="38" fillId="0" borderId="1" xfId="0" applyFont="1" applyBorder="1" applyAlignment="1" applyProtection="1">
      <alignment horizontal="center" vertical="center"/>
      <protection locked="0"/>
    </xf>
    <xf numFmtId="0" fontId="38" fillId="16" borderId="1" xfId="0" applyFont="1" applyFill="1" applyBorder="1" applyAlignment="1" applyProtection="1">
      <alignment horizontal="center" vertical="center"/>
      <protection locked="0"/>
    </xf>
    <xf numFmtId="3" fontId="9" fillId="21" borderId="0" xfId="0" applyNumberFormat="1" applyFont="1" applyFill="1" applyAlignment="1">
      <alignment horizontal="center"/>
    </xf>
    <xf numFmtId="37" fontId="9" fillId="21" borderId="0" xfId="0" applyNumberFormat="1" applyFont="1" applyFill="1" applyAlignment="1">
      <alignment horizontal="center"/>
    </xf>
    <xf numFmtId="3" fontId="13" fillId="4" borderId="9" xfId="0" applyNumberFormat="1" applyFont="1" applyFill="1" applyBorder="1" applyAlignment="1">
      <alignment horizontal="center" vertical="center"/>
    </xf>
    <xf numFmtId="10" fontId="7" fillId="4" borderId="0" xfId="0" applyNumberFormat="1" applyFont="1" applyFill="1" applyAlignment="1">
      <alignment horizontal="center" vertical="center"/>
    </xf>
    <xf numFmtId="10" fontId="5" fillId="4" borderId="0" xfId="0" applyNumberFormat="1" applyFont="1" applyFill="1" applyAlignment="1">
      <alignment horizontal="center" vertical="center"/>
    </xf>
    <xf numFmtId="0" fontId="5" fillId="4" borderId="0" xfId="0" applyFont="1" applyFill="1"/>
    <xf numFmtId="3" fontId="13" fillId="4" borderId="17" xfId="0" applyNumberFormat="1" applyFont="1" applyFill="1" applyBorder="1" applyAlignment="1">
      <alignment horizontal="center" vertical="center"/>
    </xf>
    <xf numFmtId="0" fontId="39" fillId="16" borderId="1" xfId="0" applyFont="1" applyFill="1" applyBorder="1" applyAlignment="1">
      <alignment horizontal="center"/>
    </xf>
    <xf numFmtId="0" fontId="39" fillId="6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horizontal="center"/>
    </xf>
    <xf numFmtId="0" fontId="35" fillId="16" borderId="1" xfId="0" applyFont="1" applyFill="1" applyBorder="1"/>
    <xf numFmtId="0" fontId="38" fillId="0" borderId="1" xfId="0" applyFont="1" applyBorder="1"/>
    <xf numFmtId="0" fontId="38" fillId="16" borderId="1" xfId="0" applyFont="1" applyFill="1" applyBorder="1"/>
    <xf numFmtId="0" fontId="38" fillId="0" borderId="19" xfId="0" applyFont="1" applyBorder="1"/>
    <xf numFmtId="0" fontId="38" fillId="6" borderId="1" xfId="0" applyFont="1" applyFill="1" applyBorder="1" applyAlignment="1">
      <alignment horizontal="center" vertical="center"/>
    </xf>
    <xf numFmtId="164" fontId="9" fillId="4" borderId="0" xfId="3" applyNumberFormat="1" applyFont="1" applyFill="1" applyAlignment="1">
      <alignment horizontal="center" vertical="center"/>
    </xf>
    <xf numFmtId="3" fontId="9" fillId="4" borderId="0" xfId="0" applyNumberFormat="1" applyFont="1" applyFill="1" applyAlignment="1">
      <alignment horizontal="center"/>
    </xf>
    <xf numFmtId="0" fontId="40" fillId="22" borderId="1" xfId="0" applyFont="1" applyFill="1" applyBorder="1" applyAlignment="1" applyProtection="1">
      <alignment horizontal="center" vertical="center"/>
      <protection locked="0"/>
    </xf>
    <xf numFmtId="0" fontId="40" fillId="6" borderId="1" xfId="0" applyFont="1" applyFill="1" applyBorder="1" applyAlignment="1" applyProtection="1">
      <alignment horizontal="center" vertical="center"/>
      <protection locked="0"/>
    </xf>
    <xf numFmtId="164" fontId="9" fillId="3" borderId="0" xfId="3" applyNumberFormat="1" applyFont="1" applyFill="1"/>
    <xf numFmtId="0" fontId="32" fillId="5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0" fontId="40" fillId="23" borderId="1" xfId="0" applyFont="1" applyFill="1" applyBorder="1" applyAlignment="1" applyProtection="1">
      <alignment horizontal="center" vertical="center"/>
      <protection locked="0"/>
    </xf>
    <xf numFmtId="0" fontId="31" fillId="23" borderId="1" xfId="0" applyFont="1" applyFill="1" applyBorder="1" applyAlignment="1" applyProtection="1">
      <alignment horizontal="center" vertical="center"/>
      <protection locked="0"/>
    </xf>
    <xf numFmtId="0" fontId="12" fillId="16" borderId="14" xfId="0" applyFont="1" applyFill="1" applyBorder="1" applyAlignment="1">
      <alignment horizontal="center" vertical="center"/>
    </xf>
    <xf numFmtId="3" fontId="13" fillId="16" borderId="9" xfId="0" applyNumberFormat="1" applyFont="1" applyFill="1" applyBorder="1" applyAlignment="1">
      <alignment horizontal="center" vertical="center"/>
    </xf>
    <xf numFmtId="0" fontId="12" fillId="16" borderId="15" xfId="0" applyFont="1" applyFill="1" applyBorder="1" applyAlignment="1">
      <alignment horizontal="center" vertical="center"/>
    </xf>
    <xf numFmtId="3" fontId="13" fillId="16" borderId="17" xfId="0" applyNumberFormat="1" applyFont="1" applyFill="1" applyBorder="1" applyAlignment="1">
      <alignment horizontal="center" vertical="center"/>
    </xf>
    <xf numFmtId="0" fontId="41" fillId="16" borderId="14" xfId="0" applyFont="1" applyFill="1" applyBorder="1" applyAlignment="1">
      <alignment horizontal="center" vertical="center"/>
    </xf>
    <xf numFmtId="3" fontId="42" fillId="16" borderId="9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/>
    </xf>
    <xf numFmtId="9" fontId="11" fillId="7" borderId="1" xfId="1" applyFont="1" applyFill="1" applyBorder="1" applyAlignment="1" applyProtection="1">
      <alignment horizontal="center"/>
    </xf>
    <xf numFmtId="0" fontId="5" fillId="7" borderId="1" xfId="0" applyFont="1" applyFill="1" applyBorder="1"/>
    <xf numFmtId="0" fontId="11" fillId="7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/>
    </xf>
    <xf numFmtId="10" fontId="17" fillId="7" borderId="1" xfId="0" applyNumberFormat="1" applyFont="1" applyFill="1" applyBorder="1" applyAlignment="1">
      <alignment horizontal="center"/>
    </xf>
    <xf numFmtId="0" fontId="21" fillId="7" borderId="1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8" fillId="16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4">
    <cellStyle name="Comma" xfId="3" builtinId="3"/>
    <cellStyle name="Normal" xfId="0" builtinId="0"/>
    <cellStyle name="Normal 2" xfId="2"/>
    <cellStyle name="Percent" xfId="1" builtinId="5"/>
  </cellStyles>
  <dxfs count="0"/>
  <tableStyles count="0" defaultTableStyle="TableStyleMedium2" defaultPivotStyle="PivotStyleLight16"/>
  <colors>
    <mruColors>
      <color rgb="FFFFFFCC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1155424</xdr:colOff>
      <xdr:row>0</xdr:row>
      <xdr:rowOff>0</xdr:rowOff>
    </xdr:from>
    <xdr:to>
      <xdr:col>4</xdr:col>
      <xdr:colOff>1365411</xdr:colOff>
      <xdr:row>4</xdr:row>
      <xdr:rowOff>62358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806756-7EBB-4864-B96D-634B9D86D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424" y="0"/>
          <a:ext cx="2201955" cy="74153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AJCO%202025%20-%20Dell\D\Desktop\01.%20Factory%20GEN\Incentives\2025%20-%204th%20Q\&#1576;&#1582;&#1589;&#1608;&#1589;%20&#1575;&#1604;&#1578;&#1602;&#1610;&#1610;&#1605;&#1575;&#1578;%20&#1576;&#1593;&#1583;%20&#1575;&#1590;&#1575;&#1601;&#1607;%20&#1575;&#1610;&#1575;&#1605;%20&#1575;&#1604;&#1580;&#1605;&#1593;%20&#1608;&#1603;&#1584;&#1604;&#1603;%20&#1605;&#1604;&#1581;&#1602;%20&#1575;&#1604;&#1578;&#1602;&#1610;&#1610;&#1605;&#1575;&#1578;\Incnetives%2011-2025%20-%20Rev%200000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brah\Downloads\Incnetives%2012-2025%20(1)++++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ntaser\Downloads\&#1603;&#1588;&#1601;%20&#1581;&#1608;&#1575;&#1601;&#1586;%20&#1588;&#1607;&#1585;(1)%20&#1575;&#1604;&#1580;&#1583;&#1610;&#158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ntaser\Desktop\&#1575;&#1604;&#1581;&#1608;&#1575;&#1601;&#1586;%202026\&#1610;&#1606;&#1575;&#1610;&#1585;%202026\&#1578;&#1602;&#1610;&#1610;&#1605;&#1575;&#1578;%20&#1575;&#1604;&#1580;&#1608;&#1583;&#1577;%20&#1605;%20&#1610;&#1575;&#1587;&#1585;%20&#1593;&#1606;%20&#1588;&#1607;&#1585;%201-202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Montaser\Desktop\&#1575;&#1604;&#1581;&#1608;&#1575;&#1601;&#1586;%202026\&#1610;&#1606;&#1575;&#1610;&#1585;%202026\&#1578;&#1602;&#1610;&#1610;&#1605;&#1575;&#1578;%20&#1575;&#1604;&#1589;&#1610;&#1575;&#1606;&#1607;%20&#1575;&#1604;&#1605;&#1607;&#1606;&#1583;&#1587;%20&#1575;&#1606;&#1610;&#1604;%2001-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n"/>
      <sheetName val="Database"/>
      <sheetName val="Management"/>
      <sheetName val="Engs"/>
      <sheetName val="Production"/>
      <sheetName val="Technical"/>
      <sheetName val="Hollowcore"/>
      <sheetName val="QC"/>
      <sheetName val="Maintenance"/>
      <sheetName val="Installation"/>
      <sheetName val="SCM"/>
      <sheetName val="Inc. Tracking"/>
    </sheetNames>
    <sheetDataSet>
      <sheetData sheetId="0"/>
      <sheetData sheetId="1">
        <row r="1">
          <cell r="F1" t="str">
            <v>Position</v>
          </cell>
          <cell r="G1" t="str">
            <v>Ref</v>
          </cell>
        </row>
        <row r="2">
          <cell r="F2" t="str">
            <v>Admin 1</v>
          </cell>
          <cell r="G2">
            <v>1000</v>
          </cell>
        </row>
        <row r="3">
          <cell r="F3" t="str">
            <v>Admin 2</v>
          </cell>
          <cell r="G3">
            <v>900</v>
          </cell>
        </row>
        <row r="4">
          <cell r="F4" t="str">
            <v>Carpenter</v>
          </cell>
          <cell r="G4">
            <v>600</v>
          </cell>
        </row>
        <row r="5">
          <cell r="F5" t="str">
            <v>Coordinator</v>
          </cell>
          <cell r="G5">
            <v>1100</v>
          </cell>
        </row>
        <row r="6">
          <cell r="F6" t="str">
            <v>Data Entry</v>
          </cell>
          <cell r="G6">
            <v>650</v>
          </cell>
        </row>
        <row r="7">
          <cell r="F7" t="str">
            <v>Driver 1</v>
          </cell>
          <cell r="G7">
            <v>900</v>
          </cell>
        </row>
        <row r="8">
          <cell r="F8" t="str">
            <v>Driver 2</v>
          </cell>
          <cell r="G8">
            <v>800</v>
          </cell>
        </row>
        <row r="9">
          <cell r="F9" t="str">
            <v>Elec Sup</v>
          </cell>
          <cell r="G9">
            <v>1200</v>
          </cell>
        </row>
        <row r="10">
          <cell r="F10" t="str">
            <v>Elec Tech</v>
          </cell>
          <cell r="G10">
            <v>1000</v>
          </cell>
        </row>
        <row r="11">
          <cell r="F11" t="str">
            <v>Electrician</v>
          </cell>
          <cell r="G11">
            <v>800</v>
          </cell>
        </row>
        <row r="12">
          <cell r="F12" t="str">
            <v>Engineer 1</v>
          </cell>
          <cell r="G12">
            <v>2700</v>
          </cell>
        </row>
        <row r="13">
          <cell r="F13" t="str">
            <v>Engineer 2</v>
          </cell>
          <cell r="G13">
            <v>2200</v>
          </cell>
        </row>
        <row r="14">
          <cell r="F14" t="str">
            <v>Erec Tech 1</v>
          </cell>
          <cell r="G14">
            <v>900</v>
          </cell>
        </row>
        <row r="15">
          <cell r="F15" t="str">
            <v>Erec Tech 2</v>
          </cell>
          <cell r="G15">
            <v>700</v>
          </cell>
        </row>
        <row r="16">
          <cell r="F16" t="str">
            <v>Est. Officer</v>
          </cell>
          <cell r="G16">
            <v>1200</v>
          </cell>
        </row>
        <row r="17">
          <cell r="F17" t="str">
            <v>Fabricator</v>
          </cell>
          <cell r="G17">
            <v>1000</v>
          </cell>
        </row>
        <row r="18">
          <cell r="F18" t="str">
            <v>Welder</v>
          </cell>
          <cell r="G18">
            <v>850</v>
          </cell>
        </row>
        <row r="19">
          <cell r="F19" t="str">
            <v>Foreman 1</v>
          </cell>
          <cell r="G19">
            <v>1700</v>
          </cell>
        </row>
        <row r="20">
          <cell r="F20" t="str">
            <v>Foreman 2</v>
          </cell>
          <cell r="G20">
            <v>1300</v>
          </cell>
        </row>
        <row r="21">
          <cell r="F21" t="str">
            <v>Labor</v>
          </cell>
          <cell r="G21">
            <v>600</v>
          </cell>
        </row>
        <row r="22">
          <cell r="F22" t="str">
            <v>Mason</v>
          </cell>
          <cell r="G22">
            <v>800</v>
          </cell>
        </row>
        <row r="23">
          <cell r="F23" t="str">
            <v>Mason 2</v>
          </cell>
          <cell r="G23">
            <v>700</v>
          </cell>
        </row>
        <row r="24">
          <cell r="F24" t="str">
            <v>Mech Sup</v>
          </cell>
          <cell r="G24">
            <v>1200</v>
          </cell>
        </row>
        <row r="25">
          <cell r="F25" t="str">
            <v>Mech Tech</v>
          </cell>
          <cell r="G25">
            <v>1000</v>
          </cell>
        </row>
        <row r="26">
          <cell r="F26" t="str">
            <v>Operator 1</v>
          </cell>
          <cell r="G26">
            <v>800</v>
          </cell>
        </row>
        <row r="27">
          <cell r="F27" t="str">
            <v>Operator 2</v>
          </cell>
          <cell r="G27">
            <v>700</v>
          </cell>
        </row>
        <row r="28">
          <cell r="F28" t="str">
            <v>Operator 3</v>
          </cell>
          <cell r="G28">
            <v>700</v>
          </cell>
        </row>
        <row r="29">
          <cell r="F29" t="str">
            <v>Other</v>
          </cell>
          <cell r="G29">
            <v>700</v>
          </cell>
        </row>
        <row r="30">
          <cell r="F30" t="str">
            <v>QC Inspector 1</v>
          </cell>
          <cell r="G30">
            <v>1500</v>
          </cell>
        </row>
        <row r="31">
          <cell r="F31" t="str">
            <v>QC Inspector 2</v>
          </cell>
          <cell r="G31">
            <v>1300</v>
          </cell>
        </row>
        <row r="32">
          <cell r="F32" t="str">
            <v>QC Inspector 3</v>
          </cell>
          <cell r="G32">
            <v>1100</v>
          </cell>
        </row>
        <row r="33">
          <cell r="F33" t="str">
            <v>Repair</v>
          </cell>
          <cell r="G33">
            <v>850</v>
          </cell>
        </row>
        <row r="34">
          <cell r="F34" t="str">
            <v>Safety 1</v>
          </cell>
          <cell r="G34">
            <v>1200</v>
          </cell>
        </row>
        <row r="35">
          <cell r="F35" t="str">
            <v>Safety 2</v>
          </cell>
          <cell r="G35">
            <v>1000</v>
          </cell>
        </row>
        <row r="36">
          <cell r="F36" t="str">
            <v>Sandblaster</v>
          </cell>
          <cell r="G36">
            <v>850</v>
          </cell>
        </row>
        <row r="37">
          <cell r="F37" t="str">
            <v>SCM 1</v>
          </cell>
          <cell r="G37">
            <v>1400</v>
          </cell>
        </row>
        <row r="38">
          <cell r="F38" t="str">
            <v>SCM-2</v>
          </cell>
          <cell r="G38">
            <v>1200</v>
          </cell>
        </row>
        <row r="39">
          <cell r="F39" t="str">
            <v>SCM-3</v>
          </cell>
          <cell r="G39">
            <v>1000</v>
          </cell>
        </row>
        <row r="40">
          <cell r="F40" t="str">
            <v>Steel Fixer</v>
          </cell>
          <cell r="G40">
            <v>800</v>
          </cell>
        </row>
        <row r="41">
          <cell r="F41" t="str">
            <v>Supervisor</v>
          </cell>
          <cell r="G41">
            <v>2000</v>
          </cell>
        </row>
        <row r="42">
          <cell r="F42" t="str">
            <v>Surveyor</v>
          </cell>
          <cell r="G42">
            <v>1200</v>
          </cell>
        </row>
        <row r="43">
          <cell r="F43" t="str">
            <v>Technician 1</v>
          </cell>
          <cell r="G43">
            <v>900</v>
          </cell>
        </row>
        <row r="44">
          <cell r="F44" t="str">
            <v>Technician 2</v>
          </cell>
          <cell r="G44">
            <v>800</v>
          </cell>
        </row>
        <row r="45">
          <cell r="F45" t="str">
            <v>Technician 3</v>
          </cell>
          <cell r="G45">
            <v>700</v>
          </cell>
        </row>
        <row r="46">
          <cell r="F46" t="str">
            <v>Detailer 1</v>
          </cell>
          <cell r="G46">
            <v>2200</v>
          </cell>
        </row>
        <row r="47">
          <cell r="F47" t="str">
            <v>Detailer 2</v>
          </cell>
          <cell r="G47">
            <v>2000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7">
          <cell r="E17">
            <v>345950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n"/>
      <sheetName val="Database"/>
      <sheetName val="Management"/>
      <sheetName val="Engs"/>
      <sheetName val="Production"/>
      <sheetName val="Technical"/>
      <sheetName val="Hollowcore"/>
      <sheetName val="QC"/>
      <sheetName val="Maintenance"/>
      <sheetName val="Installation"/>
      <sheetName val="SCM"/>
      <sheetName val="Inc. Tracking"/>
    </sheetNames>
    <sheetDataSet>
      <sheetData sheetId="0"/>
      <sheetData sheetId="1">
        <row r="1">
          <cell r="F1" t="str">
            <v>Position</v>
          </cell>
          <cell r="G1" t="str">
            <v>Ref</v>
          </cell>
        </row>
        <row r="2">
          <cell r="F2" t="str">
            <v>Admin 1</v>
          </cell>
          <cell r="G2">
            <v>1000</v>
          </cell>
        </row>
        <row r="3">
          <cell r="F3" t="str">
            <v>Admin 2</v>
          </cell>
          <cell r="G3">
            <v>900</v>
          </cell>
        </row>
        <row r="4">
          <cell r="F4" t="str">
            <v>Carpenter</v>
          </cell>
          <cell r="G4">
            <v>600</v>
          </cell>
        </row>
        <row r="5">
          <cell r="F5" t="str">
            <v>Coordinator</v>
          </cell>
          <cell r="G5">
            <v>1100</v>
          </cell>
        </row>
        <row r="6">
          <cell r="F6" t="str">
            <v>Data Entry</v>
          </cell>
          <cell r="G6">
            <v>650</v>
          </cell>
        </row>
        <row r="7">
          <cell r="F7" t="str">
            <v>Driver 1</v>
          </cell>
          <cell r="G7">
            <v>900</v>
          </cell>
        </row>
        <row r="8">
          <cell r="F8" t="str">
            <v>Driver 2</v>
          </cell>
          <cell r="G8">
            <v>800</v>
          </cell>
        </row>
        <row r="9">
          <cell r="F9" t="str">
            <v>Elec Sup</v>
          </cell>
          <cell r="G9">
            <v>1200</v>
          </cell>
        </row>
        <row r="10">
          <cell r="F10" t="str">
            <v>Elec Tech</v>
          </cell>
          <cell r="G10">
            <v>1000</v>
          </cell>
        </row>
        <row r="11">
          <cell r="F11" t="str">
            <v>Electrician</v>
          </cell>
          <cell r="G11">
            <v>800</v>
          </cell>
        </row>
        <row r="12">
          <cell r="F12" t="str">
            <v>Engineer 1</v>
          </cell>
          <cell r="G12">
            <v>2700</v>
          </cell>
        </row>
        <row r="13">
          <cell r="F13" t="str">
            <v>Engineer 2</v>
          </cell>
          <cell r="G13">
            <v>2200</v>
          </cell>
        </row>
        <row r="14">
          <cell r="F14" t="str">
            <v>Erec Tech 1</v>
          </cell>
          <cell r="G14">
            <v>900</v>
          </cell>
        </row>
        <row r="15">
          <cell r="F15" t="str">
            <v>Erec Tech 2</v>
          </cell>
          <cell r="G15">
            <v>700</v>
          </cell>
        </row>
        <row r="16">
          <cell r="F16" t="str">
            <v>Est. Officer</v>
          </cell>
          <cell r="G16">
            <v>1200</v>
          </cell>
        </row>
        <row r="17">
          <cell r="F17" t="str">
            <v>Fabricator</v>
          </cell>
          <cell r="G17">
            <v>1000</v>
          </cell>
        </row>
        <row r="18">
          <cell r="F18" t="str">
            <v>Welder</v>
          </cell>
          <cell r="G18">
            <v>850</v>
          </cell>
        </row>
        <row r="19">
          <cell r="F19" t="str">
            <v>Foreman 1</v>
          </cell>
          <cell r="G19">
            <v>1700</v>
          </cell>
        </row>
        <row r="20">
          <cell r="F20" t="str">
            <v>Foreman 2</v>
          </cell>
          <cell r="G20">
            <v>1300</v>
          </cell>
        </row>
        <row r="21">
          <cell r="F21" t="str">
            <v>Labor</v>
          </cell>
          <cell r="G21">
            <v>600</v>
          </cell>
        </row>
        <row r="22">
          <cell r="F22" t="str">
            <v>Mason</v>
          </cell>
          <cell r="G22">
            <v>800</v>
          </cell>
        </row>
        <row r="23">
          <cell r="F23" t="str">
            <v>Mason 2</v>
          </cell>
          <cell r="G23">
            <v>700</v>
          </cell>
        </row>
        <row r="24">
          <cell r="F24" t="str">
            <v>Mech Sup</v>
          </cell>
          <cell r="G24">
            <v>1200</v>
          </cell>
        </row>
        <row r="25">
          <cell r="F25" t="str">
            <v>Mech Tech</v>
          </cell>
          <cell r="G25">
            <v>1000</v>
          </cell>
        </row>
        <row r="26">
          <cell r="F26" t="str">
            <v>Operator 1</v>
          </cell>
          <cell r="G26">
            <v>800</v>
          </cell>
        </row>
        <row r="27">
          <cell r="F27" t="str">
            <v>Operator 2</v>
          </cell>
          <cell r="G27">
            <v>700</v>
          </cell>
        </row>
        <row r="28">
          <cell r="F28" t="str">
            <v>Operator 3</v>
          </cell>
          <cell r="G28">
            <v>700</v>
          </cell>
        </row>
        <row r="29">
          <cell r="F29" t="str">
            <v>Other</v>
          </cell>
          <cell r="G29">
            <v>700</v>
          </cell>
        </row>
        <row r="30">
          <cell r="F30" t="str">
            <v>QC Inspector 1</v>
          </cell>
          <cell r="G30">
            <v>1500</v>
          </cell>
        </row>
        <row r="31">
          <cell r="F31" t="str">
            <v>QC Inspector 2</v>
          </cell>
          <cell r="G31">
            <v>1300</v>
          </cell>
        </row>
        <row r="32">
          <cell r="F32" t="str">
            <v>QC Inspector 3</v>
          </cell>
          <cell r="G32">
            <v>1100</v>
          </cell>
        </row>
        <row r="33">
          <cell r="F33" t="str">
            <v>Repair</v>
          </cell>
          <cell r="G33">
            <v>850</v>
          </cell>
        </row>
        <row r="34">
          <cell r="F34" t="str">
            <v>Safety 1</v>
          </cell>
          <cell r="G34">
            <v>1200</v>
          </cell>
        </row>
        <row r="35">
          <cell r="F35" t="str">
            <v>Safety 2</v>
          </cell>
          <cell r="G35">
            <v>1000</v>
          </cell>
        </row>
        <row r="36">
          <cell r="F36" t="str">
            <v>Sandblaster</v>
          </cell>
          <cell r="G36">
            <v>850</v>
          </cell>
        </row>
        <row r="37">
          <cell r="F37" t="str">
            <v>SCM 1</v>
          </cell>
          <cell r="G37">
            <v>1400</v>
          </cell>
        </row>
        <row r="38">
          <cell r="F38" t="str">
            <v>SCM-2</v>
          </cell>
          <cell r="G38">
            <v>1200</v>
          </cell>
        </row>
        <row r="39">
          <cell r="F39" t="str">
            <v>SCM-3</v>
          </cell>
          <cell r="G39">
            <v>1000</v>
          </cell>
        </row>
        <row r="40">
          <cell r="F40" t="str">
            <v>Steel Fixer</v>
          </cell>
          <cell r="G40">
            <v>800</v>
          </cell>
        </row>
        <row r="41">
          <cell r="F41" t="str">
            <v>Supervisor</v>
          </cell>
          <cell r="G41">
            <v>2000</v>
          </cell>
        </row>
        <row r="42">
          <cell r="F42" t="str">
            <v>Surveyor</v>
          </cell>
          <cell r="G42">
            <v>1200</v>
          </cell>
        </row>
        <row r="43">
          <cell r="F43" t="str">
            <v>Technician 1</v>
          </cell>
          <cell r="G43">
            <v>900</v>
          </cell>
        </row>
        <row r="44">
          <cell r="F44" t="str">
            <v>Technician 2</v>
          </cell>
          <cell r="G44">
            <v>800</v>
          </cell>
        </row>
        <row r="45">
          <cell r="F45" t="str">
            <v>Technician 3</v>
          </cell>
          <cell r="G45">
            <v>700</v>
          </cell>
        </row>
        <row r="46">
          <cell r="F46" t="str">
            <v>Detailer 1</v>
          </cell>
          <cell r="G46">
            <v>2200</v>
          </cell>
        </row>
        <row r="47">
          <cell r="F47" t="str">
            <v>Detailer 2</v>
          </cell>
          <cell r="G47">
            <v>2000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n"/>
      <sheetName val="Database"/>
      <sheetName val="Management"/>
      <sheetName val="Production"/>
      <sheetName val="Technical"/>
      <sheetName val="Hollowcore"/>
      <sheetName val="QC"/>
      <sheetName val="Maintenance"/>
      <sheetName val="Installation"/>
      <sheetName val="SCM"/>
      <sheetName val="Inc. Tracking"/>
      <sheetName val="Engs"/>
    </sheetNames>
    <sheetDataSet>
      <sheetData sheetId="0"/>
      <sheetData sheetId="1">
        <row r="1">
          <cell r="F1" t="str">
            <v>Position</v>
          </cell>
          <cell r="G1" t="str">
            <v>Ref</v>
          </cell>
        </row>
        <row r="2">
          <cell r="F2" t="str">
            <v>Admin 1</v>
          </cell>
          <cell r="G2">
            <v>1000</v>
          </cell>
        </row>
        <row r="3">
          <cell r="F3" t="str">
            <v>Admin 2</v>
          </cell>
          <cell r="G3">
            <v>900</v>
          </cell>
        </row>
        <row r="4">
          <cell r="F4" t="str">
            <v>Carpenter</v>
          </cell>
          <cell r="G4">
            <v>600</v>
          </cell>
        </row>
        <row r="5">
          <cell r="F5" t="str">
            <v>Coordinator</v>
          </cell>
          <cell r="G5">
            <v>1100</v>
          </cell>
        </row>
        <row r="6">
          <cell r="F6" t="str">
            <v>Data Entry</v>
          </cell>
          <cell r="G6">
            <v>650</v>
          </cell>
        </row>
        <row r="7">
          <cell r="F7" t="str">
            <v>Driver 1</v>
          </cell>
          <cell r="G7">
            <v>900</v>
          </cell>
        </row>
        <row r="8">
          <cell r="F8" t="str">
            <v>Driver 2</v>
          </cell>
          <cell r="G8">
            <v>800</v>
          </cell>
        </row>
        <row r="9">
          <cell r="F9" t="str">
            <v>Elec Sup</v>
          </cell>
          <cell r="G9">
            <v>1200</v>
          </cell>
        </row>
        <row r="10">
          <cell r="F10" t="str">
            <v>Elec Tech</v>
          </cell>
          <cell r="G10">
            <v>1000</v>
          </cell>
        </row>
        <row r="11">
          <cell r="F11" t="str">
            <v>Electrician</v>
          </cell>
          <cell r="G11">
            <v>800</v>
          </cell>
        </row>
        <row r="12">
          <cell r="F12" t="str">
            <v>Engineer 1</v>
          </cell>
          <cell r="G12">
            <v>2700</v>
          </cell>
        </row>
        <row r="13">
          <cell r="F13" t="str">
            <v>Engineer 2</v>
          </cell>
          <cell r="G13">
            <v>2200</v>
          </cell>
        </row>
        <row r="14">
          <cell r="F14" t="str">
            <v>Erec Tech 1</v>
          </cell>
          <cell r="G14">
            <v>900</v>
          </cell>
        </row>
        <row r="15">
          <cell r="F15" t="str">
            <v>Erec Tech 2</v>
          </cell>
          <cell r="G15">
            <v>700</v>
          </cell>
        </row>
        <row r="16">
          <cell r="F16" t="str">
            <v>Est. Officer</v>
          </cell>
          <cell r="G16">
            <v>1200</v>
          </cell>
        </row>
        <row r="17">
          <cell r="F17" t="str">
            <v>Fabricator</v>
          </cell>
          <cell r="G17">
            <v>1000</v>
          </cell>
        </row>
        <row r="18">
          <cell r="F18" t="str">
            <v>Welder</v>
          </cell>
          <cell r="G18">
            <v>850</v>
          </cell>
        </row>
        <row r="19">
          <cell r="F19" t="str">
            <v>Foreman 1</v>
          </cell>
          <cell r="G19">
            <v>1700</v>
          </cell>
        </row>
        <row r="20">
          <cell r="F20" t="str">
            <v>Foreman 2</v>
          </cell>
          <cell r="G20">
            <v>1300</v>
          </cell>
        </row>
        <row r="21">
          <cell r="F21" t="str">
            <v>Labor</v>
          </cell>
          <cell r="G21">
            <v>600</v>
          </cell>
        </row>
        <row r="22">
          <cell r="F22" t="str">
            <v>Mason</v>
          </cell>
          <cell r="G22">
            <v>800</v>
          </cell>
        </row>
        <row r="23">
          <cell r="F23" t="str">
            <v>Mason 2</v>
          </cell>
          <cell r="G23">
            <v>700</v>
          </cell>
        </row>
        <row r="24">
          <cell r="F24" t="str">
            <v>Mech Sup</v>
          </cell>
          <cell r="G24">
            <v>1200</v>
          </cell>
        </row>
        <row r="25">
          <cell r="F25" t="str">
            <v>Mech Tech</v>
          </cell>
          <cell r="G25">
            <v>1000</v>
          </cell>
        </row>
        <row r="26">
          <cell r="F26" t="str">
            <v>Operator 1</v>
          </cell>
          <cell r="G26">
            <v>800</v>
          </cell>
        </row>
        <row r="27">
          <cell r="F27" t="str">
            <v>Operator 2</v>
          </cell>
          <cell r="G27">
            <v>700</v>
          </cell>
        </row>
        <row r="28">
          <cell r="F28" t="str">
            <v>Operator 3</v>
          </cell>
          <cell r="G28">
            <v>700</v>
          </cell>
        </row>
        <row r="29">
          <cell r="F29" t="str">
            <v>Other</v>
          </cell>
          <cell r="G29">
            <v>700</v>
          </cell>
        </row>
        <row r="30">
          <cell r="F30" t="str">
            <v>QC Inspector 1</v>
          </cell>
          <cell r="G30">
            <v>1500</v>
          </cell>
        </row>
        <row r="31">
          <cell r="F31" t="str">
            <v>QC Inspector 2</v>
          </cell>
          <cell r="G31">
            <v>1300</v>
          </cell>
        </row>
        <row r="32">
          <cell r="F32" t="str">
            <v>QC Inspector 3</v>
          </cell>
          <cell r="G32">
            <v>1100</v>
          </cell>
        </row>
        <row r="33">
          <cell r="F33" t="str">
            <v>Repair</v>
          </cell>
          <cell r="G33">
            <v>850</v>
          </cell>
        </row>
        <row r="34">
          <cell r="F34" t="str">
            <v>Safety 1</v>
          </cell>
          <cell r="G34">
            <v>1200</v>
          </cell>
        </row>
        <row r="35">
          <cell r="F35" t="str">
            <v>Safety 2</v>
          </cell>
          <cell r="G35">
            <v>1000</v>
          </cell>
        </row>
        <row r="36">
          <cell r="F36" t="str">
            <v>Sandblaster</v>
          </cell>
          <cell r="G36">
            <v>850</v>
          </cell>
        </row>
        <row r="37">
          <cell r="F37" t="str">
            <v>SCM 1</v>
          </cell>
          <cell r="G37">
            <v>1400</v>
          </cell>
        </row>
        <row r="38">
          <cell r="F38" t="str">
            <v>SCM-2</v>
          </cell>
          <cell r="G38">
            <v>1200</v>
          </cell>
        </row>
        <row r="39">
          <cell r="F39" t="str">
            <v>SCM-3</v>
          </cell>
          <cell r="G39">
            <v>1000</v>
          </cell>
        </row>
        <row r="40">
          <cell r="F40" t="str">
            <v>Steel Fixer</v>
          </cell>
          <cell r="G40">
            <v>800</v>
          </cell>
        </row>
        <row r="41">
          <cell r="F41" t="str">
            <v>Supervisor</v>
          </cell>
          <cell r="G41">
            <v>2000</v>
          </cell>
        </row>
        <row r="42">
          <cell r="F42" t="str">
            <v>Surveyor</v>
          </cell>
          <cell r="G42">
            <v>1200</v>
          </cell>
        </row>
        <row r="43">
          <cell r="F43" t="str">
            <v>Technician 1</v>
          </cell>
          <cell r="G43">
            <v>900</v>
          </cell>
        </row>
        <row r="44">
          <cell r="F44" t="str">
            <v>Technician 2</v>
          </cell>
          <cell r="G44">
            <v>800</v>
          </cell>
        </row>
        <row r="45">
          <cell r="F45" t="str">
            <v>Technician 3</v>
          </cell>
          <cell r="G45">
            <v>700</v>
          </cell>
        </row>
        <row r="46">
          <cell r="F46" t="str">
            <v>Detailer 1</v>
          </cell>
          <cell r="G46">
            <v>2200</v>
          </cell>
        </row>
        <row r="47">
          <cell r="F47" t="str">
            <v>Detailer 2</v>
          </cell>
          <cell r="G47">
            <v>2000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n"/>
      <sheetName val="Database"/>
      <sheetName val="Management"/>
      <sheetName val="Production"/>
      <sheetName val="Technical"/>
      <sheetName val="Hollowcore"/>
      <sheetName val="QC"/>
      <sheetName val="Maintenance"/>
      <sheetName val="Installation"/>
      <sheetName val="SCM"/>
      <sheetName val="Inc. Tracking"/>
      <sheetName val="Engs"/>
    </sheetNames>
    <sheetDataSet>
      <sheetData sheetId="0"/>
      <sheetData sheetId="1">
        <row r="1">
          <cell r="F1" t="str">
            <v>Position</v>
          </cell>
          <cell r="G1" t="str">
            <v>Ref</v>
          </cell>
        </row>
        <row r="2">
          <cell r="F2" t="str">
            <v>Admin 1</v>
          </cell>
          <cell r="G2">
            <v>1000</v>
          </cell>
        </row>
        <row r="3">
          <cell r="F3" t="str">
            <v>Admin 2</v>
          </cell>
          <cell r="G3">
            <v>900</v>
          </cell>
        </row>
        <row r="4">
          <cell r="F4" t="str">
            <v>Carpenter</v>
          </cell>
          <cell r="G4">
            <v>600</v>
          </cell>
        </row>
        <row r="5">
          <cell r="F5" t="str">
            <v>Coordinator</v>
          </cell>
          <cell r="G5">
            <v>1100</v>
          </cell>
        </row>
        <row r="6">
          <cell r="F6" t="str">
            <v>Data Entry</v>
          </cell>
          <cell r="G6">
            <v>650</v>
          </cell>
        </row>
        <row r="7">
          <cell r="F7" t="str">
            <v>Driver 1</v>
          </cell>
          <cell r="G7">
            <v>900</v>
          </cell>
        </row>
        <row r="8">
          <cell r="F8" t="str">
            <v>Driver 2</v>
          </cell>
          <cell r="G8">
            <v>800</v>
          </cell>
        </row>
        <row r="9">
          <cell r="F9" t="str">
            <v>Elec Sup</v>
          </cell>
          <cell r="G9">
            <v>1200</v>
          </cell>
        </row>
        <row r="10">
          <cell r="F10" t="str">
            <v>Elec Tech</v>
          </cell>
          <cell r="G10">
            <v>1000</v>
          </cell>
        </row>
        <row r="11">
          <cell r="F11" t="str">
            <v>Electrician</v>
          </cell>
          <cell r="G11">
            <v>800</v>
          </cell>
        </row>
        <row r="12">
          <cell r="F12" t="str">
            <v>Engineer 1</v>
          </cell>
          <cell r="G12">
            <v>2700</v>
          </cell>
        </row>
        <row r="13">
          <cell r="F13" t="str">
            <v>Engineer 2</v>
          </cell>
          <cell r="G13">
            <v>2200</v>
          </cell>
        </row>
        <row r="14">
          <cell r="F14" t="str">
            <v>Erec Tech 1</v>
          </cell>
          <cell r="G14">
            <v>900</v>
          </cell>
        </row>
        <row r="15">
          <cell r="F15" t="str">
            <v>Erec Tech 2</v>
          </cell>
          <cell r="G15">
            <v>700</v>
          </cell>
        </row>
        <row r="16">
          <cell r="F16" t="str">
            <v>Est. Officer</v>
          </cell>
          <cell r="G16">
            <v>1200</v>
          </cell>
        </row>
        <row r="17">
          <cell r="F17" t="str">
            <v>Fabricator</v>
          </cell>
          <cell r="G17">
            <v>1000</v>
          </cell>
        </row>
        <row r="18">
          <cell r="F18" t="str">
            <v>Welder</v>
          </cell>
          <cell r="G18">
            <v>850</v>
          </cell>
        </row>
        <row r="19">
          <cell r="F19" t="str">
            <v>Foreman 1</v>
          </cell>
          <cell r="G19">
            <v>1700</v>
          </cell>
        </row>
        <row r="20">
          <cell r="F20" t="str">
            <v>Foreman 2</v>
          </cell>
          <cell r="G20">
            <v>1300</v>
          </cell>
        </row>
        <row r="21">
          <cell r="F21" t="str">
            <v>Labor</v>
          </cell>
          <cell r="G21">
            <v>600</v>
          </cell>
        </row>
        <row r="22">
          <cell r="F22" t="str">
            <v>Mason</v>
          </cell>
          <cell r="G22">
            <v>800</v>
          </cell>
        </row>
        <row r="23">
          <cell r="F23" t="str">
            <v>Mason 2</v>
          </cell>
          <cell r="G23">
            <v>700</v>
          </cell>
        </row>
        <row r="24">
          <cell r="F24" t="str">
            <v>Mech Sup</v>
          </cell>
          <cell r="G24">
            <v>1200</v>
          </cell>
        </row>
        <row r="25">
          <cell r="F25" t="str">
            <v>Mech Tech</v>
          </cell>
          <cell r="G25">
            <v>1000</v>
          </cell>
        </row>
        <row r="26">
          <cell r="F26" t="str">
            <v>Operator 1</v>
          </cell>
          <cell r="G26">
            <v>800</v>
          </cell>
        </row>
        <row r="27">
          <cell r="F27" t="str">
            <v>Operator 2</v>
          </cell>
          <cell r="G27">
            <v>700</v>
          </cell>
        </row>
        <row r="28">
          <cell r="F28" t="str">
            <v>Operator 3</v>
          </cell>
          <cell r="G28">
            <v>700</v>
          </cell>
        </row>
        <row r="29">
          <cell r="F29" t="str">
            <v>Other</v>
          </cell>
          <cell r="G29">
            <v>700</v>
          </cell>
        </row>
        <row r="30">
          <cell r="F30" t="str">
            <v>QC Inspector 1</v>
          </cell>
          <cell r="G30">
            <v>1500</v>
          </cell>
        </row>
        <row r="31">
          <cell r="F31" t="str">
            <v>QC Inspector 2</v>
          </cell>
          <cell r="G31">
            <v>1300</v>
          </cell>
        </row>
        <row r="32">
          <cell r="F32" t="str">
            <v>QC Inspector 3</v>
          </cell>
          <cell r="G32">
            <v>1100</v>
          </cell>
        </row>
        <row r="33">
          <cell r="F33" t="str">
            <v>Repair</v>
          </cell>
          <cell r="G33">
            <v>850</v>
          </cell>
        </row>
        <row r="34">
          <cell r="F34" t="str">
            <v>Safety 1</v>
          </cell>
          <cell r="G34">
            <v>1200</v>
          </cell>
        </row>
        <row r="35">
          <cell r="F35" t="str">
            <v>Safety 2</v>
          </cell>
          <cell r="G35">
            <v>1000</v>
          </cell>
        </row>
        <row r="36">
          <cell r="F36" t="str">
            <v>Sandblaster</v>
          </cell>
          <cell r="G36">
            <v>850</v>
          </cell>
        </row>
        <row r="37">
          <cell r="F37" t="str">
            <v>SCM 1</v>
          </cell>
          <cell r="G37">
            <v>1400</v>
          </cell>
        </row>
        <row r="38">
          <cell r="F38" t="str">
            <v>SCM-2</v>
          </cell>
          <cell r="G38">
            <v>1200</v>
          </cell>
        </row>
        <row r="39">
          <cell r="F39" t="str">
            <v>SCM-3</v>
          </cell>
          <cell r="G39">
            <v>1000</v>
          </cell>
        </row>
        <row r="40">
          <cell r="F40" t="str">
            <v>Steel Fixer</v>
          </cell>
          <cell r="G40">
            <v>800</v>
          </cell>
        </row>
        <row r="41">
          <cell r="F41" t="str">
            <v>Supervisor</v>
          </cell>
          <cell r="G41">
            <v>2000</v>
          </cell>
        </row>
        <row r="42">
          <cell r="F42" t="str">
            <v>Surveyor</v>
          </cell>
          <cell r="G42">
            <v>1200</v>
          </cell>
        </row>
        <row r="43">
          <cell r="F43" t="str">
            <v>Technician 1</v>
          </cell>
          <cell r="G43">
            <v>900</v>
          </cell>
        </row>
        <row r="44">
          <cell r="F44" t="str">
            <v>Technician 2</v>
          </cell>
          <cell r="G44">
            <v>800</v>
          </cell>
        </row>
        <row r="45">
          <cell r="F45" t="str">
            <v>Technician 3</v>
          </cell>
          <cell r="G45">
            <v>700</v>
          </cell>
        </row>
        <row r="46">
          <cell r="F46" t="str">
            <v>Detailer 1</v>
          </cell>
          <cell r="G46">
            <v>2200</v>
          </cell>
        </row>
        <row r="47">
          <cell r="F47" t="str">
            <v>Detailer 2</v>
          </cell>
          <cell r="G47">
            <v>2000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n"/>
      <sheetName val="Database"/>
      <sheetName val="Management"/>
      <sheetName val="Production"/>
      <sheetName val="Technical"/>
      <sheetName val="Hollowcore"/>
      <sheetName val="QC"/>
      <sheetName val="Maintenance"/>
      <sheetName val="Installation"/>
      <sheetName val="SCM"/>
      <sheetName val="Inc. Tracking"/>
      <sheetName val="Engs"/>
    </sheetNames>
    <sheetDataSet>
      <sheetData sheetId="0"/>
      <sheetData sheetId="1">
        <row r="1">
          <cell r="F1" t="str">
            <v>Position</v>
          </cell>
          <cell r="G1" t="str">
            <v>Ref</v>
          </cell>
        </row>
        <row r="2">
          <cell r="F2" t="str">
            <v>Admin 1</v>
          </cell>
          <cell r="G2">
            <v>1000</v>
          </cell>
        </row>
        <row r="3">
          <cell r="F3" t="str">
            <v>Admin 2</v>
          </cell>
          <cell r="G3">
            <v>900</v>
          </cell>
        </row>
        <row r="4">
          <cell r="F4" t="str">
            <v>Carpenter</v>
          </cell>
          <cell r="G4">
            <v>600</v>
          </cell>
        </row>
        <row r="5">
          <cell r="F5" t="str">
            <v>Coordinator</v>
          </cell>
          <cell r="G5">
            <v>1100</v>
          </cell>
        </row>
        <row r="6">
          <cell r="F6" t="str">
            <v>Data Entry</v>
          </cell>
          <cell r="G6">
            <v>650</v>
          </cell>
        </row>
        <row r="7">
          <cell r="F7" t="str">
            <v>Driver 1</v>
          </cell>
          <cell r="G7">
            <v>900</v>
          </cell>
        </row>
        <row r="8">
          <cell r="F8" t="str">
            <v>Driver 2</v>
          </cell>
          <cell r="G8">
            <v>800</v>
          </cell>
        </row>
        <row r="9">
          <cell r="F9" t="str">
            <v>Elec Sup</v>
          </cell>
          <cell r="G9">
            <v>1200</v>
          </cell>
        </row>
        <row r="10">
          <cell r="F10" t="str">
            <v>Elec Tech</v>
          </cell>
          <cell r="G10">
            <v>1000</v>
          </cell>
        </row>
        <row r="11">
          <cell r="F11" t="str">
            <v>Electrician</v>
          </cell>
          <cell r="G11">
            <v>800</v>
          </cell>
        </row>
        <row r="12">
          <cell r="F12" t="str">
            <v>Engineer 1</v>
          </cell>
          <cell r="G12">
            <v>2700</v>
          </cell>
        </row>
        <row r="13">
          <cell r="F13" t="str">
            <v>Engineer 2</v>
          </cell>
          <cell r="G13">
            <v>2200</v>
          </cell>
        </row>
        <row r="14">
          <cell r="F14" t="str">
            <v>Erec Tech 1</v>
          </cell>
          <cell r="G14">
            <v>900</v>
          </cell>
        </row>
        <row r="15">
          <cell r="F15" t="str">
            <v>Erec Tech 2</v>
          </cell>
          <cell r="G15">
            <v>700</v>
          </cell>
        </row>
        <row r="16">
          <cell r="F16" t="str">
            <v>Est. Officer</v>
          </cell>
          <cell r="G16">
            <v>1200</v>
          </cell>
        </row>
        <row r="17">
          <cell r="F17" t="str">
            <v>Fabricator</v>
          </cell>
          <cell r="G17">
            <v>1000</v>
          </cell>
        </row>
        <row r="18">
          <cell r="F18" t="str">
            <v>Welder</v>
          </cell>
          <cell r="G18">
            <v>850</v>
          </cell>
        </row>
        <row r="19">
          <cell r="F19" t="str">
            <v>Foreman 1</v>
          </cell>
          <cell r="G19">
            <v>1700</v>
          </cell>
        </row>
        <row r="20">
          <cell r="F20" t="str">
            <v>Foreman 2</v>
          </cell>
          <cell r="G20">
            <v>1300</v>
          </cell>
        </row>
        <row r="21">
          <cell r="F21" t="str">
            <v>Labor</v>
          </cell>
          <cell r="G21">
            <v>600</v>
          </cell>
        </row>
        <row r="22">
          <cell r="F22" t="str">
            <v>Mason</v>
          </cell>
          <cell r="G22">
            <v>800</v>
          </cell>
        </row>
        <row r="23">
          <cell r="F23" t="str">
            <v>Mason 2</v>
          </cell>
          <cell r="G23">
            <v>700</v>
          </cell>
        </row>
        <row r="24">
          <cell r="F24" t="str">
            <v>Mech Sup</v>
          </cell>
          <cell r="G24">
            <v>1200</v>
          </cell>
        </row>
        <row r="25">
          <cell r="F25" t="str">
            <v>Mech Tech</v>
          </cell>
          <cell r="G25">
            <v>1000</v>
          </cell>
        </row>
        <row r="26">
          <cell r="F26" t="str">
            <v>Operator 1</v>
          </cell>
          <cell r="G26">
            <v>800</v>
          </cell>
        </row>
        <row r="27">
          <cell r="F27" t="str">
            <v>Operator 2</v>
          </cell>
          <cell r="G27">
            <v>700</v>
          </cell>
        </row>
        <row r="28">
          <cell r="F28" t="str">
            <v>Operator 3</v>
          </cell>
          <cell r="G28">
            <v>700</v>
          </cell>
        </row>
        <row r="29">
          <cell r="F29" t="str">
            <v>Other</v>
          </cell>
          <cell r="G29">
            <v>700</v>
          </cell>
        </row>
        <row r="30">
          <cell r="F30" t="str">
            <v>QC Inspector 1</v>
          </cell>
          <cell r="G30">
            <v>1500</v>
          </cell>
        </row>
        <row r="31">
          <cell r="F31" t="str">
            <v>QC Inspector 2</v>
          </cell>
          <cell r="G31">
            <v>1300</v>
          </cell>
        </row>
        <row r="32">
          <cell r="F32" t="str">
            <v>QC Inspector 3</v>
          </cell>
          <cell r="G32">
            <v>1100</v>
          </cell>
        </row>
        <row r="33">
          <cell r="F33" t="str">
            <v>Repair</v>
          </cell>
          <cell r="G33">
            <v>850</v>
          </cell>
        </row>
        <row r="34">
          <cell r="F34" t="str">
            <v>Safety 1</v>
          </cell>
          <cell r="G34">
            <v>1200</v>
          </cell>
        </row>
        <row r="35">
          <cell r="F35" t="str">
            <v>Safety 2</v>
          </cell>
          <cell r="G35">
            <v>1000</v>
          </cell>
        </row>
        <row r="36">
          <cell r="F36" t="str">
            <v>Sandblaster</v>
          </cell>
          <cell r="G36">
            <v>850</v>
          </cell>
        </row>
        <row r="37">
          <cell r="F37" t="str">
            <v>SCM 1</v>
          </cell>
          <cell r="G37">
            <v>1400</v>
          </cell>
        </row>
        <row r="38">
          <cell r="F38" t="str">
            <v>SCM-2</v>
          </cell>
          <cell r="G38">
            <v>1200</v>
          </cell>
        </row>
        <row r="39">
          <cell r="F39" t="str">
            <v>SCM-3</v>
          </cell>
          <cell r="G39">
            <v>1000</v>
          </cell>
        </row>
        <row r="40">
          <cell r="F40" t="str">
            <v>Steel Fixer</v>
          </cell>
          <cell r="G40">
            <v>800</v>
          </cell>
        </row>
        <row r="41">
          <cell r="F41" t="str">
            <v>Supervisor</v>
          </cell>
          <cell r="G41">
            <v>2000</v>
          </cell>
        </row>
        <row r="42">
          <cell r="F42" t="str">
            <v>Surveyor</v>
          </cell>
          <cell r="G42">
            <v>1200</v>
          </cell>
        </row>
        <row r="43">
          <cell r="F43" t="str">
            <v>Technician 1</v>
          </cell>
          <cell r="G43">
            <v>900</v>
          </cell>
        </row>
        <row r="44">
          <cell r="F44" t="str">
            <v>Technician 2</v>
          </cell>
          <cell r="G44">
            <v>800</v>
          </cell>
        </row>
        <row r="45">
          <cell r="F45" t="str">
            <v>Technician 3</v>
          </cell>
          <cell r="G45">
            <v>700</v>
          </cell>
        </row>
        <row r="46">
          <cell r="F46" t="str">
            <v>Detailer 1</v>
          </cell>
          <cell r="G46">
            <v>2200</v>
          </cell>
        </row>
        <row r="47">
          <cell r="F47" t="str">
            <v>Detailer 2</v>
          </cell>
          <cell r="G47">
            <v>2000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G372"/>
  <sheetViews>
    <sheetView workbookViewId="0">
      <pane xSplit="6" ySplit="1" topLeftCell="G8" activePane="bottomRight" state="frozen"/>
      <selection pane="topRight" activeCell="G1" sqref="G1"/>
      <selection pane="bottomLeft" activeCell="A2" sqref="A2"/>
      <selection pane="bottomRight" activeCell="E39" sqref="E39"/>
    </sheetView>
  </sheetViews>
  <sheetFormatPr defaultRowHeight="13.5"/>
  <cols>
    <col min="2" max="2" width="15.3125" style="1" bestFit="1" customWidth="1"/>
    <col min="6" max="6" width="15.3125" style="1" bestFit="1" customWidth="1"/>
    <col min="7" max="7" width="16.3125" style="1" customWidth="1"/>
  </cols>
  <sheetData>
    <row r="1" spans="2:7" ht="30" customHeight="1">
      <c r="B1" s="4" t="s">
        <v>424</v>
      </c>
      <c r="F1" s="2" t="s">
        <v>422</v>
      </c>
      <c r="G1" s="3" t="s">
        <v>423</v>
      </c>
    </row>
    <row r="2" spans="2:7">
      <c r="B2" s="5" t="s">
        <v>404</v>
      </c>
      <c r="E2" s="1"/>
      <c r="F2" s="31" t="s">
        <v>408</v>
      </c>
      <c r="G2" s="32">
        <v>1000</v>
      </c>
    </row>
    <row r="3" spans="2:7">
      <c r="B3" s="5" t="s">
        <v>391</v>
      </c>
      <c r="F3" s="31" t="s">
        <v>410</v>
      </c>
      <c r="G3" s="32">
        <v>900</v>
      </c>
    </row>
    <row r="4" spans="2:7">
      <c r="B4" s="5" t="s">
        <v>405</v>
      </c>
      <c r="F4" s="31" t="s">
        <v>409</v>
      </c>
      <c r="G4" s="32">
        <v>600</v>
      </c>
    </row>
    <row r="5" spans="2:7">
      <c r="B5" s="5" t="s">
        <v>390</v>
      </c>
      <c r="F5" s="31" t="s">
        <v>401</v>
      </c>
      <c r="G5" s="32">
        <v>1100</v>
      </c>
    </row>
    <row r="6" spans="2:7">
      <c r="B6" s="5" t="s">
        <v>401</v>
      </c>
      <c r="F6" s="31" t="s">
        <v>381</v>
      </c>
      <c r="G6" s="32">
        <v>650</v>
      </c>
    </row>
    <row r="7" spans="2:7">
      <c r="B7" s="5" t="s">
        <v>390</v>
      </c>
      <c r="F7" s="31" t="s">
        <v>380</v>
      </c>
      <c r="G7" s="32">
        <v>900</v>
      </c>
    </row>
    <row r="8" spans="2:7">
      <c r="B8" s="5" t="s">
        <v>391</v>
      </c>
      <c r="F8" s="31" t="s">
        <v>400</v>
      </c>
      <c r="G8" s="32">
        <v>800</v>
      </c>
    </row>
    <row r="9" spans="2:7">
      <c r="B9" s="5" t="s">
        <v>407</v>
      </c>
      <c r="F9" s="31" t="s">
        <v>395</v>
      </c>
      <c r="G9" s="32">
        <v>1200</v>
      </c>
    </row>
    <row r="10" spans="2:7">
      <c r="B10" s="5" t="s">
        <v>405</v>
      </c>
      <c r="F10" s="31" t="s">
        <v>393</v>
      </c>
      <c r="G10" s="32">
        <v>1000</v>
      </c>
    </row>
    <row r="11" spans="2:7">
      <c r="B11" s="5" t="s">
        <v>408</v>
      </c>
      <c r="F11" s="31" t="s">
        <v>399</v>
      </c>
      <c r="G11" s="32">
        <v>800</v>
      </c>
    </row>
    <row r="12" spans="2:7">
      <c r="B12" s="5" t="s">
        <v>391</v>
      </c>
      <c r="F12" s="33" t="s">
        <v>391</v>
      </c>
      <c r="G12" s="34">
        <v>2700</v>
      </c>
    </row>
    <row r="13" spans="2:7">
      <c r="B13" s="5" t="s">
        <v>391</v>
      </c>
      <c r="F13" s="33" t="s">
        <v>390</v>
      </c>
      <c r="G13" s="34">
        <v>2200</v>
      </c>
    </row>
    <row r="14" spans="2:7">
      <c r="B14" s="5" t="s">
        <v>391</v>
      </c>
      <c r="F14" s="31" t="s">
        <v>398</v>
      </c>
      <c r="G14" s="32">
        <v>900</v>
      </c>
    </row>
    <row r="15" spans="2:7">
      <c r="B15" s="5" t="s">
        <v>391</v>
      </c>
      <c r="F15" s="31" t="s">
        <v>397</v>
      </c>
      <c r="G15" s="32">
        <v>700</v>
      </c>
    </row>
    <row r="16" spans="2:7">
      <c r="B16" s="5" t="s">
        <v>366</v>
      </c>
      <c r="F16" s="31" t="s">
        <v>407</v>
      </c>
      <c r="G16" s="32">
        <v>1200</v>
      </c>
    </row>
    <row r="17" spans="2:7">
      <c r="B17" s="5" t="s">
        <v>391</v>
      </c>
      <c r="F17" s="31" t="s">
        <v>369</v>
      </c>
      <c r="G17" s="32">
        <v>1000</v>
      </c>
    </row>
    <row r="18" spans="2:7">
      <c r="B18" s="6" t="s">
        <v>369</v>
      </c>
      <c r="F18" s="31" t="s">
        <v>368</v>
      </c>
      <c r="G18" s="32">
        <v>850</v>
      </c>
    </row>
    <row r="19" spans="2:7">
      <c r="B19" s="5" t="s">
        <v>391</v>
      </c>
      <c r="F19" s="31" t="s">
        <v>365</v>
      </c>
      <c r="G19" s="32">
        <v>1700</v>
      </c>
    </row>
    <row r="20" spans="2:7">
      <c r="B20" s="5" t="s">
        <v>391</v>
      </c>
      <c r="F20" s="31" t="s">
        <v>366</v>
      </c>
      <c r="G20" s="32">
        <v>1300</v>
      </c>
    </row>
    <row r="21" spans="2:7">
      <c r="B21" s="5" t="s">
        <v>391</v>
      </c>
      <c r="F21" s="31" t="s">
        <v>370</v>
      </c>
      <c r="G21" s="32">
        <v>600</v>
      </c>
    </row>
    <row r="22" spans="2:7">
      <c r="B22" s="5" t="s">
        <v>406</v>
      </c>
      <c r="F22" s="31" t="s">
        <v>372</v>
      </c>
      <c r="G22" s="32">
        <v>800</v>
      </c>
    </row>
    <row r="23" spans="2:7">
      <c r="B23" s="6" t="s">
        <v>368</v>
      </c>
      <c r="F23" s="31" t="s">
        <v>383</v>
      </c>
      <c r="G23" s="32">
        <v>700</v>
      </c>
    </row>
    <row r="24" spans="2:7">
      <c r="B24" s="6" t="s">
        <v>369</v>
      </c>
      <c r="F24" s="31" t="s">
        <v>394</v>
      </c>
      <c r="G24" s="32">
        <v>1200</v>
      </c>
    </row>
    <row r="25" spans="2:7">
      <c r="B25" s="6" t="s">
        <v>366</v>
      </c>
      <c r="F25" s="31" t="s">
        <v>392</v>
      </c>
      <c r="G25" s="32">
        <v>1000</v>
      </c>
    </row>
    <row r="26" spans="2:7">
      <c r="B26" s="6" t="s">
        <v>369</v>
      </c>
      <c r="F26" s="31" t="s">
        <v>375</v>
      </c>
      <c r="G26" s="32">
        <v>800</v>
      </c>
    </row>
    <row r="27" spans="2:7">
      <c r="B27" s="6" t="s">
        <v>369</v>
      </c>
      <c r="F27" s="31" t="s">
        <v>376</v>
      </c>
      <c r="G27" s="32">
        <v>700</v>
      </c>
    </row>
    <row r="28" spans="2:7">
      <c r="B28" s="6" t="s">
        <v>368</v>
      </c>
      <c r="F28" s="31" t="s">
        <v>379</v>
      </c>
      <c r="G28" s="32">
        <v>700</v>
      </c>
    </row>
    <row r="29" spans="2:7">
      <c r="B29" s="6" t="s">
        <v>369</v>
      </c>
      <c r="F29" s="31" t="s">
        <v>382</v>
      </c>
      <c r="G29" s="32">
        <v>700</v>
      </c>
    </row>
    <row r="30" spans="2:7">
      <c r="B30" s="6" t="s">
        <v>369</v>
      </c>
      <c r="F30" s="31" t="s">
        <v>445</v>
      </c>
      <c r="G30" s="32">
        <v>1500</v>
      </c>
    </row>
    <row r="31" spans="2:7">
      <c r="B31" s="6"/>
      <c r="F31" s="31" t="s">
        <v>446</v>
      </c>
      <c r="G31" s="32">
        <v>1300</v>
      </c>
    </row>
    <row r="32" spans="2:7">
      <c r="B32" s="6" t="s">
        <v>369</v>
      </c>
      <c r="F32" s="31" t="s">
        <v>447</v>
      </c>
      <c r="G32" s="32">
        <v>1100</v>
      </c>
    </row>
    <row r="33" spans="2:7">
      <c r="B33" s="6" t="s">
        <v>369</v>
      </c>
      <c r="F33" s="31" t="s">
        <v>402</v>
      </c>
      <c r="G33" s="32">
        <v>850</v>
      </c>
    </row>
    <row r="34" spans="2:7">
      <c r="B34" s="6" t="s">
        <v>369</v>
      </c>
      <c r="F34" s="31" t="s">
        <v>406</v>
      </c>
      <c r="G34" s="32">
        <v>1200</v>
      </c>
    </row>
    <row r="35" spans="2:7">
      <c r="B35" s="6" t="s">
        <v>369</v>
      </c>
      <c r="F35" s="31" t="s">
        <v>664</v>
      </c>
      <c r="G35" s="32">
        <v>1000</v>
      </c>
    </row>
    <row r="36" spans="2:7">
      <c r="B36" s="6" t="s">
        <v>369</v>
      </c>
      <c r="F36" s="31" t="s">
        <v>373</v>
      </c>
      <c r="G36" s="32">
        <v>850</v>
      </c>
    </row>
    <row r="37" spans="2:7">
      <c r="B37" s="6" t="s">
        <v>368</v>
      </c>
      <c r="F37" s="31" t="s">
        <v>405</v>
      </c>
      <c r="G37" s="32">
        <v>1400</v>
      </c>
    </row>
    <row r="38" spans="2:7">
      <c r="B38" s="6" t="s">
        <v>369</v>
      </c>
      <c r="F38" s="31" t="s">
        <v>377</v>
      </c>
      <c r="G38" s="32">
        <v>1200</v>
      </c>
    </row>
    <row r="39" spans="2:7">
      <c r="B39" s="6" t="s">
        <v>369</v>
      </c>
      <c r="F39" s="31" t="s">
        <v>378</v>
      </c>
      <c r="G39" s="32">
        <v>1000</v>
      </c>
    </row>
    <row r="40" spans="2:7">
      <c r="B40" s="6" t="s">
        <v>369</v>
      </c>
      <c r="F40" s="31" t="s">
        <v>371</v>
      </c>
      <c r="G40" s="32">
        <v>800</v>
      </c>
    </row>
    <row r="41" spans="2:7">
      <c r="B41" s="6" t="s">
        <v>369</v>
      </c>
      <c r="F41" s="31" t="s">
        <v>396</v>
      </c>
      <c r="G41" s="32">
        <v>2000</v>
      </c>
    </row>
    <row r="42" spans="2:7">
      <c r="B42" s="6" t="s">
        <v>368</v>
      </c>
      <c r="F42" s="31" t="s">
        <v>403</v>
      </c>
      <c r="G42" s="32">
        <v>1200</v>
      </c>
    </row>
    <row r="43" spans="2:7">
      <c r="B43" s="6" t="s">
        <v>369</v>
      </c>
      <c r="F43" s="31" t="s">
        <v>386</v>
      </c>
      <c r="G43" s="32">
        <v>900</v>
      </c>
    </row>
    <row r="44" spans="2:7">
      <c r="B44" s="6" t="s">
        <v>368</v>
      </c>
      <c r="F44" s="31" t="s">
        <v>387</v>
      </c>
      <c r="G44" s="32">
        <v>800</v>
      </c>
    </row>
    <row r="45" spans="2:7">
      <c r="B45" s="6" t="s">
        <v>368</v>
      </c>
      <c r="F45" s="31" t="s">
        <v>665</v>
      </c>
      <c r="G45" s="32">
        <v>700</v>
      </c>
    </row>
    <row r="46" spans="2:7">
      <c r="B46" s="6"/>
      <c r="F46" s="35" t="s">
        <v>666</v>
      </c>
      <c r="G46" s="32">
        <v>2200</v>
      </c>
    </row>
    <row r="47" spans="2:7">
      <c r="B47" s="6" t="s">
        <v>368</v>
      </c>
      <c r="F47" s="31" t="s">
        <v>435</v>
      </c>
      <c r="G47" s="32">
        <v>2000</v>
      </c>
    </row>
    <row r="48" spans="2:7">
      <c r="B48" s="6" t="s">
        <v>368</v>
      </c>
    </row>
    <row r="49" spans="2:2">
      <c r="B49" s="6" t="s">
        <v>409</v>
      </c>
    </row>
    <row r="50" spans="2:2">
      <c r="B50" s="6" t="s">
        <v>409</v>
      </c>
    </row>
    <row r="51" spans="2:2">
      <c r="B51" s="6" t="s">
        <v>369</v>
      </c>
    </row>
    <row r="52" spans="2:2">
      <c r="B52" s="6" t="s">
        <v>369</v>
      </c>
    </row>
    <row r="53" spans="2:2">
      <c r="B53" s="6" t="s">
        <v>368</v>
      </c>
    </row>
    <row r="54" spans="2:2">
      <c r="B54" s="6" t="s">
        <v>368</v>
      </c>
    </row>
    <row r="55" spans="2:2">
      <c r="B55" s="6" t="s">
        <v>370</v>
      </c>
    </row>
    <row r="56" spans="2:2">
      <c r="B56" s="6" t="s">
        <v>371</v>
      </c>
    </row>
    <row r="57" spans="2:2">
      <c r="B57" s="6" t="s">
        <v>371</v>
      </c>
    </row>
    <row r="58" spans="2:2">
      <c r="B58" s="6" t="s">
        <v>371</v>
      </c>
    </row>
    <row r="59" spans="2:2">
      <c r="B59" s="6" t="s">
        <v>371</v>
      </c>
    </row>
    <row r="60" spans="2:2">
      <c r="B60" s="6" t="s">
        <v>371</v>
      </c>
    </row>
    <row r="61" spans="2:2">
      <c r="B61" s="6" t="s">
        <v>371</v>
      </c>
    </row>
    <row r="62" spans="2:2">
      <c r="B62" s="6" t="s">
        <v>371</v>
      </c>
    </row>
    <row r="63" spans="2:2">
      <c r="B63" s="6" t="s">
        <v>371</v>
      </c>
    </row>
    <row r="64" spans="2:2">
      <c r="B64" s="6" t="s">
        <v>371</v>
      </c>
    </row>
    <row r="65" spans="2:2">
      <c r="B65" s="6" t="s">
        <v>371</v>
      </c>
    </row>
    <row r="66" spans="2:2">
      <c r="B66" s="6" t="s">
        <v>371</v>
      </c>
    </row>
    <row r="67" spans="2:2">
      <c r="B67" s="6" t="s">
        <v>371</v>
      </c>
    </row>
    <row r="68" spans="2:2">
      <c r="B68" s="6" t="s">
        <v>371</v>
      </c>
    </row>
    <row r="69" spans="2:2">
      <c r="B69" s="6" t="s">
        <v>371</v>
      </c>
    </row>
    <row r="70" spans="2:2">
      <c r="B70" s="6" t="s">
        <v>371</v>
      </c>
    </row>
    <row r="71" spans="2:2">
      <c r="B71" s="6" t="s">
        <v>371</v>
      </c>
    </row>
    <row r="72" spans="2:2">
      <c r="B72" s="6" t="s">
        <v>371</v>
      </c>
    </row>
    <row r="73" spans="2:2">
      <c r="B73" s="6" t="s">
        <v>371</v>
      </c>
    </row>
    <row r="74" spans="2:2">
      <c r="B74" s="6" t="s">
        <v>371</v>
      </c>
    </row>
    <row r="75" spans="2:2">
      <c r="B75" s="6" t="s">
        <v>371</v>
      </c>
    </row>
    <row r="76" spans="2:2">
      <c r="B76" s="6" t="s">
        <v>371</v>
      </c>
    </row>
    <row r="77" spans="2:2">
      <c r="B77" s="6" t="s">
        <v>371</v>
      </c>
    </row>
    <row r="78" spans="2:2">
      <c r="B78" s="6" t="s">
        <v>371</v>
      </c>
    </row>
    <row r="79" spans="2:2">
      <c r="B79" s="6" t="s">
        <v>371</v>
      </c>
    </row>
    <row r="80" spans="2:2">
      <c r="B80" s="6" t="s">
        <v>371</v>
      </c>
    </row>
    <row r="81" spans="2:2">
      <c r="B81" s="6" t="s">
        <v>371</v>
      </c>
    </row>
    <row r="82" spans="2:2">
      <c r="B82" s="6" t="s">
        <v>371</v>
      </c>
    </row>
    <row r="83" spans="2:2">
      <c r="B83" s="6" t="s">
        <v>371</v>
      </c>
    </row>
    <row r="84" spans="2:2">
      <c r="B84" s="6" t="s">
        <v>371</v>
      </c>
    </row>
    <row r="85" spans="2:2">
      <c r="B85" s="6" t="s">
        <v>371</v>
      </c>
    </row>
    <row r="86" spans="2:2">
      <c r="B86" s="6" t="s">
        <v>371</v>
      </c>
    </row>
    <row r="87" spans="2:2">
      <c r="B87" s="6" t="s">
        <v>371</v>
      </c>
    </row>
    <row r="88" spans="2:2">
      <c r="B88" s="6" t="s">
        <v>371</v>
      </c>
    </row>
    <row r="89" spans="2:2">
      <c r="B89" s="6" t="s">
        <v>371</v>
      </c>
    </row>
    <row r="90" spans="2:2">
      <c r="B90" s="6" t="s">
        <v>371</v>
      </c>
    </row>
    <row r="91" spans="2:2">
      <c r="B91" s="6" t="s">
        <v>371</v>
      </c>
    </row>
    <row r="92" spans="2:2">
      <c r="B92" s="6" t="s">
        <v>371</v>
      </c>
    </row>
    <row r="93" spans="2:2">
      <c r="B93" s="6" t="s">
        <v>371</v>
      </c>
    </row>
    <row r="94" spans="2:2">
      <c r="B94" s="6" t="s">
        <v>371</v>
      </c>
    </row>
    <row r="95" spans="2:2">
      <c r="B95" s="6" t="s">
        <v>371</v>
      </c>
    </row>
    <row r="96" spans="2:2">
      <c r="B96" s="6" t="s">
        <v>371</v>
      </c>
    </row>
    <row r="97" spans="2:2">
      <c r="B97" s="6" t="s">
        <v>371</v>
      </c>
    </row>
    <row r="98" spans="2:2">
      <c r="B98" s="6" t="s">
        <v>371</v>
      </c>
    </row>
    <row r="99" spans="2:2">
      <c r="B99" s="6" t="s">
        <v>371</v>
      </c>
    </row>
    <row r="100" spans="2:2">
      <c r="B100" s="6" t="s">
        <v>371</v>
      </c>
    </row>
    <row r="101" spans="2:2">
      <c r="B101" s="6" t="s">
        <v>371</v>
      </c>
    </row>
    <row r="102" spans="2:2">
      <c r="B102" s="6" t="s">
        <v>371</v>
      </c>
    </row>
    <row r="103" spans="2:2">
      <c r="B103" s="6" t="s">
        <v>371</v>
      </c>
    </row>
    <row r="104" spans="2:2">
      <c r="B104" s="6" t="s">
        <v>371</v>
      </c>
    </row>
    <row r="105" spans="2:2">
      <c r="B105" s="6" t="s">
        <v>371</v>
      </c>
    </row>
    <row r="106" spans="2:2">
      <c r="B106" s="6" t="s">
        <v>371</v>
      </c>
    </row>
    <row r="107" spans="2:2">
      <c r="B107" s="6" t="s">
        <v>372</v>
      </c>
    </row>
    <row r="108" spans="2:2">
      <c r="B108" s="6" t="s">
        <v>372</v>
      </c>
    </row>
    <row r="109" spans="2:2">
      <c r="B109" s="6" t="s">
        <v>372</v>
      </c>
    </row>
    <row r="110" spans="2:2">
      <c r="B110" s="6" t="s">
        <v>372</v>
      </c>
    </row>
    <row r="111" spans="2:2">
      <c r="B111" s="6" t="s">
        <v>373</v>
      </c>
    </row>
    <row r="112" spans="2:2">
      <c r="B112" s="6" t="s">
        <v>373</v>
      </c>
    </row>
    <row r="113" spans="2:2">
      <c r="B113" s="6" t="s">
        <v>372</v>
      </c>
    </row>
    <row r="114" spans="2:2">
      <c r="B114" s="6" t="s">
        <v>373</v>
      </c>
    </row>
    <row r="115" spans="2:2">
      <c r="B115" s="6" t="s">
        <v>372</v>
      </c>
    </row>
    <row r="116" spans="2:2">
      <c r="B116" s="6" t="s">
        <v>372</v>
      </c>
    </row>
    <row r="117" spans="2:2">
      <c r="B117" s="6" t="s">
        <v>372</v>
      </c>
    </row>
    <row r="118" spans="2:2">
      <c r="B118" s="6" t="s">
        <v>372</v>
      </c>
    </row>
    <row r="119" spans="2:2">
      <c r="B119" s="6" t="s">
        <v>372</v>
      </c>
    </row>
    <row r="120" spans="2:2">
      <c r="B120" s="6" t="s">
        <v>373</v>
      </c>
    </row>
    <row r="121" spans="2:2">
      <c r="B121" s="6" t="s">
        <v>373</v>
      </c>
    </row>
    <row r="122" spans="2:2">
      <c r="B122" s="6" t="s">
        <v>370</v>
      </c>
    </row>
    <row r="123" spans="2:2">
      <c r="B123" s="6" t="s">
        <v>372</v>
      </c>
    </row>
    <row r="124" spans="2:2">
      <c r="B124" s="6" t="s">
        <v>372</v>
      </c>
    </row>
    <row r="125" spans="2:2">
      <c r="B125" s="6" t="s">
        <v>370</v>
      </c>
    </row>
    <row r="126" spans="2:2">
      <c r="B126" s="6" t="s">
        <v>373</v>
      </c>
    </row>
    <row r="127" spans="2:2">
      <c r="B127" s="6" t="s">
        <v>372</v>
      </c>
    </row>
    <row r="128" spans="2:2">
      <c r="B128" s="6" t="s">
        <v>370</v>
      </c>
    </row>
    <row r="129" spans="2:2">
      <c r="B129" s="6" t="s">
        <v>372</v>
      </c>
    </row>
    <row r="130" spans="2:2">
      <c r="B130" s="6" t="s">
        <v>372</v>
      </c>
    </row>
    <row r="131" spans="2:2">
      <c r="B131" s="6" t="s">
        <v>372</v>
      </c>
    </row>
    <row r="132" spans="2:2">
      <c r="B132" s="6" t="s">
        <v>372</v>
      </c>
    </row>
    <row r="133" spans="2:2">
      <c r="B133" s="6" t="s">
        <v>365</v>
      </c>
    </row>
    <row r="134" spans="2:2">
      <c r="B134" s="6" t="s">
        <v>366</v>
      </c>
    </row>
    <row r="135" spans="2:2">
      <c r="B135" s="6" t="s">
        <v>372</v>
      </c>
    </row>
    <row r="136" spans="2:2">
      <c r="B136" s="6" t="s">
        <v>374</v>
      </c>
    </row>
    <row r="137" spans="2:2">
      <c r="B137" s="6" t="s">
        <v>372</v>
      </c>
    </row>
    <row r="138" spans="2:2">
      <c r="B138" s="6" t="s">
        <v>372</v>
      </c>
    </row>
    <row r="139" spans="2:2">
      <c r="B139" s="6" t="s">
        <v>372</v>
      </c>
    </row>
    <row r="140" spans="2:2">
      <c r="B140" s="6" t="s">
        <v>375</v>
      </c>
    </row>
    <row r="141" spans="2:2">
      <c r="B141" s="6" t="s">
        <v>375</v>
      </c>
    </row>
    <row r="142" spans="2:2">
      <c r="B142" s="6" t="s">
        <v>370</v>
      </c>
    </row>
    <row r="143" spans="2:2">
      <c r="B143" s="6" t="s">
        <v>372</v>
      </c>
    </row>
    <row r="144" spans="2:2">
      <c r="B144" s="6" t="s">
        <v>372</v>
      </c>
    </row>
    <row r="145" spans="2:2">
      <c r="B145" s="6" t="s">
        <v>370</v>
      </c>
    </row>
    <row r="146" spans="2:2">
      <c r="B146" s="6" t="s">
        <v>370</v>
      </c>
    </row>
    <row r="147" spans="2:2">
      <c r="B147" s="6" t="s">
        <v>370</v>
      </c>
    </row>
    <row r="148" spans="2:2">
      <c r="B148" s="6" t="s">
        <v>370</v>
      </c>
    </row>
    <row r="149" spans="2:2">
      <c r="B149" s="6" t="s">
        <v>410</v>
      </c>
    </row>
    <row r="150" spans="2:2">
      <c r="B150" s="6" t="s">
        <v>378</v>
      </c>
    </row>
    <row r="151" spans="2:2">
      <c r="B151" s="6" t="s">
        <v>377</v>
      </c>
    </row>
    <row r="152" spans="2:2">
      <c r="B152" s="6" t="s">
        <v>376</v>
      </c>
    </row>
    <row r="153" spans="2:2">
      <c r="B153" s="6" t="s">
        <v>379</v>
      </c>
    </row>
    <row r="154" spans="2:2">
      <c r="B154" s="6" t="s">
        <v>380</v>
      </c>
    </row>
    <row r="155" spans="2:2">
      <c r="B155" s="6" t="s">
        <v>370</v>
      </c>
    </row>
    <row r="156" spans="2:2">
      <c r="B156" s="6" t="s">
        <v>381</v>
      </c>
    </row>
    <row r="157" spans="2:2">
      <c r="B157" s="6" t="s">
        <v>381</v>
      </c>
    </row>
    <row r="158" spans="2:2">
      <c r="B158" s="6" t="s">
        <v>365</v>
      </c>
    </row>
    <row r="159" spans="2:2">
      <c r="B159" s="6" t="s">
        <v>382</v>
      </c>
    </row>
    <row r="160" spans="2:2">
      <c r="B160" s="6" t="s">
        <v>372</v>
      </c>
    </row>
    <row r="161" spans="2:2">
      <c r="B161" s="6" t="s">
        <v>372</v>
      </c>
    </row>
    <row r="162" spans="2:2">
      <c r="B162" s="6" t="s">
        <v>372</v>
      </c>
    </row>
    <row r="163" spans="2:2">
      <c r="B163" s="6" t="s">
        <v>372</v>
      </c>
    </row>
    <row r="164" spans="2:2">
      <c r="B164" s="6" t="s">
        <v>372</v>
      </c>
    </row>
    <row r="165" spans="2:2">
      <c r="B165" s="6" t="s">
        <v>372</v>
      </c>
    </row>
    <row r="166" spans="2:2">
      <c r="B166" s="6" t="s">
        <v>372</v>
      </c>
    </row>
    <row r="167" spans="2:2">
      <c r="B167" s="6" t="s">
        <v>372</v>
      </c>
    </row>
    <row r="168" spans="2:2">
      <c r="B168" s="6" t="s">
        <v>372</v>
      </c>
    </row>
    <row r="169" spans="2:2">
      <c r="B169" s="6" t="s">
        <v>372</v>
      </c>
    </row>
    <row r="170" spans="2:2">
      <c r="B170" s="6" t="s">
        <v>372</v>
      </c>
    </row>
    <row r="171" spans="2:2">
      <c r="B171" s="6" t="s">
        <v>372</v>
      </c>
    </row>
    <row r="172" spans="2:2">
      <c r="B172" s="6" t="s">
        <v>372</v>
      </c>
    </row>
    <row r="173" spans="2:2">
      <c r="B173" s="6" t="s">
        <v>375</v>
      </c>
    </row>
    <row r="174" spans="2:2">
      <c r="B174" s="6" t="s">
        <v>370</v>
      </c>
    </row>
    <row r="175" spans="2:2">
      <c r="B175" s="6" t="s">
        <v>372</v>
      </c>
    </row>
    <row r="176" spans="2:2">
      <c r="B176" s="6" t="s">
        <v>372</v>
      </c>
    </row>
    <row r="177" spans="2:2">
      <c r="B177" s="6" t="s">
        <v>379</v>
      </c>
    </row>
    <row r="178" spans="2:2">
      <c r="B178" s="6" t="s">
        <v>379</v>
      </c>
    </row>
    <row r="179" spans="2:2">
      <c r="B179" s="6" t="s">
        <v>379</v>
      </c>
    </row>
    <row r="180" spans="2:2">
      <c r="B180" s="6" t="s">
        <v>372</v>
      </c>
    </row>
    <row r="181" spans="2:2">
      <c r="B181" s="6" t="s">
        <v>379</v>
      </c>
    </row>
    <row r="182" spans="2:2">
      <c r="B182" s="6" t="s">
        <v>375</v>
      </c>
    </row>
    <row r="183" spans="2:2">
      <c r="B183" s="6" t="s">
        <v>372</v>
      </c>
    </row>
    <row r="184" spans="2:2">
      <c r="B184" s="6" t="s">
        <v>372</v>
      </c>
    </row>
    <row r="185" spans="2:2">
      <c r="B185" s="6" t="s">
        <v>372</v>
      </c>
    </row>
    <row r="186" spans="2:2">
      <c r="B186" s="6" t="s">
        <v>376</v>
      </c>
    </row>
    <row r="187" spans="2:2">
      <c r="B187" s="6" t="s">
        <v>376</v>
      </c>
    </row>
    <row r="188" spans="2:2">
      <c r="B188" s="6" t="s">
        <v>376</v>
      </c>
    </row>
    <row r="189" spans="2:2">
      <c r="B189" s="6" t="s">
        <v>376</v>
      </c>
    </row>
    <row r="190" spans="2:2">
      <c r="B190" s="6" t="s">
        <v>376</v>
      </c>
    </row>
    <row r="191" spans="2:2">
      <c r="B191" s="6" t="s">
        <v>376</v>
      </c>
    </row>
    <row r="192" spans="2:2">
      <c r="B192" s="6" t="s">
        <v>376</v>
      </c>
    </row>
    <row r="193" spans="2:2">
      <c r="B193" s="6" t="s">
        <v>376</v>
      </c>
    </row>
    <row r="194" spans="2:2">
      <c r="B194" s="6" t="s">
        <v>376</v>
      </c>
    </row>
    <row r="195" spans="2:2">
      <c r="B195" s="6" t="s">
        <v>376</v>
      </c>
    </row>
    <row r="196" spans="2:2">
      <c r="B196" s="6" t="s">
        <v>376</v>
      </c>
    </row>
    <row r="197" spans="2:2">
      <c r="B197" s="6" t="s">
        <v>383</v>
      </c>
    </row>
    <row r="198" spans="2:2">
      <c r="B198" s="6" t="s">
        <v>382</v>
      </c>
    </row>
    <row r="199" spans="2:2">
      <c r="B199" s="6" t="s">
        <v>382</v>
      </c>
    </row>
    <row r="200" spans="2:2">
      <c r="B200" s="6" t="s">
        <v>382</v>
      </c>
    </row>
    <row r="201" spans="2:2">
      <c r="B201" s="6" t="s">
        <v>365</v>
      </c>
    </row>
    <row r="202" spans="2:2">
      <c r="B202" s="6" t="s">
        <v>365</v>
      </c>
    </row>
    <row r="203" spans="2:2">
      <c r="B203" s="6" t="s">
        <v>366</v>
      </c>
    </row>
    <row r="204" spans="2:2">
      <c r="B204" s="6" t="s">
        <v>366</v>
      </c>
    </row>
    <row r="205" spans="2:2">
      <c r="B205" s="6" t="s">
        <v>366</v>
      </c>
    </row>
    <row r="206" spans="2:2">
      <c r="B206" s="6" t="s">
        <v>366</v>
      </c>
    </row>
    <row r="207" spans="2:2">
      <c r="B207" s="6" t="s">
        <v>366</v>
      </c>
    </row>
    <row r="208" spans="2:2">
      <c r="B208" s="6" t="s">
        <v>365</v>
      </c>
    </row>
    <row r="209" spans="2:2">
      <c r="B209" s="6" t="s">
        <v>365</v>
      </c>
    </row>
    <row r="210" spans="2:2">
      <c r="B210" s="6" t="s">
        <v>375</v>
      </c>
    </row>
    <row r="211" spans="2:2">
      <c r="B211" s="5" t="s">
        <v>368</v>
      </c>
    </row>
    <row r="212" spans="2:2">
      <c r="B212" s="5" t="s">
        <v>170</v>
      </c>
    </row>
    <row r="213" spans="2:2">
      <c r="B213" s="5" t="s">
        <v>220</v>
      </c>
    </row>
    <row r="214" spans="2:2">
      <c r="B214" s="5" t="s">
        <v>170</v>
      </c>
    </row>
    <row r="215" spans="2:2">
      <c r="B215" s="5" t="s">
        <v>298</v>
      </c>
    </row>
    <row r="216" spans="2:2">
      <c r="B216" s="5" t="s">
        <v>298</v>
      </c>
    </row>
    <row r="217" spans="2:2">
      <c r="B217" s="5" t="s">
        <v>298</v>
      </c>
    </row>
    <row r="218" spans="2:2">
      <c r="B218" s="6" t="s">
        <v>170</v>
      </c>
    </row>
    <row r="219" spans="2:2">
      <c r="B219" s="6" t="s">
        <v>365</v>
      </c>
    </row>
    <row r="220" spans="2:2">
      <c r="B220" s="6" t="s">
        <v>375</v>
      </c>
    </row>
    <row r="221" spans="2:2">
      <c r="B221" s="6" t="s">
        <v>387</v>
      </c>
    </row>
    <row r="222" spans="2:2">
      <c r="B222" s="6" t="s">
        <v>370</v>
      </c>
    </row>
    <row r="223" spans="2:2">
      <c r="B223" s="6" t="s">
        <v>372</v>
      </c>
    </row>
    <row r="224" spans="2:2">
      <c r="B224" s="6" t="s">
        <v>376</v>
      </c>
    </row>
    <row r="225" spans="2:2">
      <c r="B225" s="6" t="s">
        <v>370</v>
      </c>
    </row>
    <row r="226" spans="2:2">
      <c r="B226" s="6" t="s">
        <v>370</v>
      </c>
    </row>
    <row r="227" spans="2:2">
      <c r="B227" s="6" t="s">
        <v>372</v>
      </c>
    </row>
    <row r="228" spans="2:2">
      <c r="B228" s="6" t="s">
        <v>387</v>
      </c>
    </row>
    <row r="229" spans="2:2">
      <c r="B229" s="6" t="s">
        <v>372</v>
      </c>
    </row>
    <row r="230" spans="2:2">
      <c r="B230" s="6" t="s">
        <v>372</v>
      </c>
    </row>
    <row r="231" spans="2:2">
      <c r="B231" s="6" t="s">
        <v>370</v>
      </c>
    </row>
    <row r="232" spans="2:2">
      <c r="B232" s="6" t="s">
        <v>366</v>
      </c>
    </row>
    <row r="233" spans="2:2">
      <c r="B233" s="6" t="s">
        <v>375</v>
      </c>
    </row>
    <row r="234" spans="2:2">
      <c r="B234" s="6" t="s">
        <v>375</v>
      </c>
    </row>
    <row r="235" spans="2:2">
      <c r="B235" s="6" t="s">
        <v>375</v>
      </c>
    </row>
    <row r="236" spans="2:2">
      <c r="B236" s="6" t="s">
        <v>370</v>
      </c>
    </row>
    <row r="237" spans="2:2">
      <c r="B237" s="6" t="s">
        <v>370</v>
      </c>
    </row>
    <row r="238" spans="2:2">
      <c r="B238" s="6" t="s">
        <v>370</v>
      </c>
    </row>
    <row r="239" spans="2:2">
      <c r="B239" s="6" t="s">
        <v>370</v>
      </c>
    </row>
    <row r="240" spans="2:2">
      <c r="B240" s="6" t="s">
        <v>375</v>
      </c>
    </row>
    <row r="241" spans="2:2">
      <c r="B241" s="6" t="s">
        <v>368</v>
      </c>
    </row>
    <row r="242" spans="2:2">
      <c r="B242" s="6" t="s">
        <v>375</v>
      </c>
    </row>
    <row r="243" spans="2:2">
      <c r="B243" s="6" t="s">
        <v>387</v>
      </c>
    </row>
    <row r="244" spans="2:2">
      <c r="B244" s="6" t="s">
        <v>388</v>
      </c>
    </row>
    <row r="245" spans="2:2">
      <c r="B245" s="6" t="s">
        <v>389</v>
      </c>
    </row>
    <row r="246" spans="2:2">
      <c r="B246" s="6" t="s">
        <v>387</v>
      </c>
    </row>
    <row r="247" spans="2:2">
      <c r="B247" s="6" t="s">
        <v>386</v>
      </c>
    </row>
    <row r="248" spans="2:2">
      <c r="B248" s="6" t="s">
        <v>389</v>
      </c>
    </row>
    <row r="249" spans="2:2">
      <c r="B249" s="6" t="s">
        <v>388</v>
      </c>
    </row>
    <row r="250" spans="2:2">
      <c r="B250" s="6" t="s">
        <v>389</v>
      </c>
    </row>
    <row r="251" spans="2:2">
      <c r="B251" s="6" t="s">
        <v>388</v>
      </c>
    </row>
    <row r="252" spans="2:2">
      <c r="B252" s="6" t="s">
        <v>386</v>
      </c>
    </row>
    <row r="253" spans="2:2">
      <c r="B253" s="6" t="s">
        <v>394</v>
      </c>
    </row>
    <row r="254" spans="2:2">
      <c r="B254" s="6" t="s">
        <v>395</v>
      </c>
    </row>
    <row r="255" spans="2:2">
      <c r="B255" s="6" t="s">
        <v>392</v>
      </c>
    </row>
    <row r="256" spans="2:2">
      <c r="B256" s="6" t="s">
        <v>392</v>
      </c>
    </row>
    <row r="257" spans="2:2">
      <c r="B257" s="6" t="s">
        <v>396</v>
      </c>
    </row>
    <row r="258" spans="2:2">
      <c r="B258" s="6" t="s">
        <v>392</v>
      </c>
    </row>
    <row r="259" spans="2:2">
      <c r="B259" s="6" t="s">
        <v>366</v>
      </c>
    </row>
    <row r="260" spans="2:2">
      <c r="B260" s="6" t="s">
        <v>366</v>
      </c>
    </row>
    <row r="261" spans="2:2">
      <c r="B261" s="6" t="s">
        <v>370</v>
      </c>
    </row>
    <row r="262" spans="2:2">
      <c r="B262" s="6" t="s">
        <v>392</v>
      </c>
    </row>
    <row r="263" spans="2:2">
      <c r="B263" s="6" t="s">
        <v>368</v>
      </c>
    </row>
    <row r="264" spans="2:2">
      <c r="B264" s="6" t="s">
        <v>368</v>
      </c>
    </row>
    <row r="265" spans="2:2">
      <c r="B265" s="6" t="s">
        <v>368</v>
      </c>
    </row>
    <row r="266" spans="2:2">
      <c r="B266" s="6" t="s">
        <v>368</v>
      </c>
    </row>
    <row r="267" spans="2:2">
      <c r="B267" s="6" t="s">
        <v>368</v>
      </c>
    </row>
    <row r="268" spans="2:2">
      <c r="B268" s="6" t="s">
        <v>370</v>
      </c>
    </row>
    <row r="269" spans="2:2">
      <c r="B269" s="6" t="s">
        <v>370</v>
      </c>
    </row>
    <row r="270" spans="2:2">
      <c r="B270" s="6" t="s">
        <v>370</v>
      </c>
    </row>
    <row r="271" spans="2:2">
      <c r="B271" s="6" t="s">
        <v>370</v>
      </c>
    </row>
    <row r="272" spans="2:2">
      <c r="B272" s="6" t="s">
        <v>370</v>
      </c>
    </row>
    <row r="273" spans="2:2">
      <c r="B273" s="6" t="s">
        <v>368</v>
      </c>
    </row>
    <row r="274" spans="2:2">
      <c r="B274" s="6" t="s">
        <v>393</v>
      </c>
    </row>
    <row r="275" spans="2:2">
      <c r="B275" s="6" t="s">
        <v>368</v>
      </c>
    </row>
    <row r="276" spans="2:2">
      <c r="B276" s="6" t="s">
        <v>399</v>
      </c>
    </row>
    <row r="277" spans="2:2">
      <c r="B277" s="6" t="s">
        <v>398</v>
      </c>
    </row>
    <row r="278" spans="2:2">
      <c r="B278" s="6" t="s">
        <v>398</v>
      </c>
    </row>
    <row r="279" spans="2:2">
      <c r="B279" s="6" t="s">
        <v>398</v>
      </c>
    </row>
    <row r="280" spans="2:2">
      <c r="B280" s="6" t="s">
        <v>365</v>
      </c>
    </row>
    <row r="281" spans="2:2">
      <c r="B281" s="6" t="s">
        <v>397</v>
      </c>
    </row>
    <row r="282" spans="2:2">
      <c r="B282" s="6" t="s">
        <v>370</v>
      </c>
    </row>
    <row r="283" spans="2:2">
      <c r="B283" s="6" t="s">
        <v>365</v>
      </c>
    </row>
    <row r="284" spans="2:2">
      <c r="B284" s="6" t="s">
        <v>400</v>
      </c>
    </row>
    <row r="285" spans="2:2">
      <c r="B285" s="6" t="s">
        <v>398</v>
      </c>
    </row>
    <row r="286" spans="2:2">
      <c r="B286" s="6" t="s">
        <v>370</v>
      </c>
    </row>
    <row r="287" spans="2:2">
      <c r="B287" s="6" t="s">
        <v>398</v>
      </c>
    </row>
    <row r="288" spans="2:2">
      <c r="B288" s="6" t="s">
        <v>397</v>
      </c>
    </row>
    <row r="289" spans="2:2">
      <c r="B289" s="6" t="s">
        <v>397</v>
      </c>
    </row>
    <row r="290" spans="2:2">
      <c r="B290" s="6" t="s">
        <v>366</v>
      </c>
    </row>
    <row r="291" spans="2:2">
      <c r="B291" s="6" t="s">
        <v>397</v>
      </c>
    </row>
    <row r="292" spans="2:2">
      <c r="B292" s="6" t="s">
        <v>398</v>
      </c>
    </row>
    <row r="293" spans="2:2">
      <c r="B293" s="6" t="s">
        <v>397</v>
      </c>
    </row>
    <row r="294" spans="2:2">
      <c r="B294" s="6" t="s">
        <v>401</v>
      </c>
    </row>
    <row r="295" spans="2:2">
      <c r="B295" s="6" t="s">
        <v>398</v>
      </c>
    </row>
    <row r="296" spans="2:2">
      <c r="B296" s="6" t="s">
        <v>398</v>
      </c>
    </row>
    <row r="297" spans="2:2">
      <c r="B297" s="6" t="s">
        <v>398</v>
      </c>
    </row>
    <row r="298" spans="2:2">
      <c r="B298" s="6" t="s">
        <v>366</v>
      </c>
    </row>
    <row r="299" spans="2:2">
      <c r="B299" s="6" t="s">
        <v>397</v>
      </c>
    </row>
    <row r="300" spans="2:2">
      <c r="B300" s="6" t="s">
        <v>402</v>
      </c>
    </row>
    <row r="301" spans="2:2">
      <c r="B301" s="6" t="s">
        <v>402</v>
      </c>
    </row>
    <row r="302" spans="2:2">
      <c r="B302" s="6" t="s">
        <v>397</v>
      </c>
    </row>
    <row r="303" spans="2:2">
      <c r="B303" s="6" t="s">
        <v>397</v>
      </c>
    </row>
    <row r="304" spans="2:2">
      <c r="B304" s="6" t="s">
        <v>397</v>
      </c>
    </row>
    <row r="305" spans="2:2">
      <c r="B305" s="6" t="s">
        <v>370</v>
      </c>
    </row>
    <row r="306" spans="2:2">
      <c r="B306" s="6" t="s">
        <v>370</v>
      </c>
    </row>
    <row r="307" spans="2:2">
      <c r="B307" s="6" t="s">
        <v>402</v>
      </c>
    </row>
    <row r="308" spans="2:2">
      <c r="B308" s="6" t="s">
        <v>366</v>
      </c>
    </row>
    <row r="309" spans="2:2">
      <c r="B309" s="6" t="s">
        <v>397</v>
      </c>
    </row>
    <row r="310" spans="2:2">
      <c r="B310" s="6" t="s">
        <v>370</v>
      </c>
    </row>
    <row r="311" spans="2:2">
      <c r="B311" s="6" t="s">
        <v>370</v>
      </c>
    </row>
    <row r="312" spans="2:2">
      <c r="B312" s="6" t="s">
        <v>370</v>
      </c>
    </row>
    <row r="313" spans="2:2">
      <c r="B313" s="6" t="s">
        <v>365</v>
      </c>
    </row>
    <row r="314" spans="2:2">
      <c r="B314" s="6" t="s">
        <v>370</v>
      </c>
    </row>
    <row r="315" spans="2:2">
      <c r="B315" s="6" t="s">
        <v>396</v>
      </c>
    </row>
    <row r="316" spans="2:2">
      <c r="B316" s="6" t="s">
        <v>370</v>
      </c>
    </row>
    <row r="317" spans="2:2">
      <c r="B317" s="6" t="s">
        <v>370</v>
      </c>
    </row>
    <row r="318" spans="2:2">
      <c r="B318" s="6" t="s">
        <v>370</v>
      </c>
    </row>
    <row r="319" spans="2:2">
      <c r="B319" s="6" t="s">
        <v>370</v>
      </c>
    </row>
    <row r="320" spans="2:2">
      <c r="B320" s="6" t="s">
        <v>370</v>
      </c>
    </row>
    <row r="321" spans="2:2">
      <c r="B321" s="6" t="s">
        <v>370</v>
      </c>
    </row>
    <row r="322" spans="2:2">
      <c r="B322" s="6" t="s">
        <v>370</v>
      </c>
    </row>
    <row r="323" spans="2:2">
      <c r="B323" s="6" t="s">
        <v>370</v>
      </c>
    </row>
    <row r="324" spans="2:2">
      <c r="B324" s="6" t="s">
        <v>398</v>
      </c>
    </row>
    <row r="325" spans="2:2">
      <c r="B325" s="6" t="s">
        <v>366</v>
      </c>
    </row>
    <row r="326" spans="2:2">
      <c r="B326" s="6" t="s">
        <v>370</v>
      </c>
    </row>
    <row r="327" spans="2:2">
      <c r="B327" s="6" t="s">
        <v>370</v>
      </c>
    </row>
    <row r="328" spans="2:2">
      <c r="B328" s="6" t="s">
        <v>403</v>
      </c>
    </row>
    <row r="329" spans="2:2">
      <c r="B329" s="6" t="s">
        <v>397</v>
      </c>
    </row>
    <row r="330" spans="2:2">
      <c r="B330" s="6" t="s">
        <v>370</v>
      </c>
    </row>
    <row r="331" spans="2:2">
      <c r="B331" s="6" t="s">
        <v>370</v>
      </c>
    </row>
    <row r="332" spans="2:2">
      <c r="B332" s="6" t="s">
        <v>370</v>
      </c>
    </row>
    <row r="333" spans="2:2">
      <c r="B333" s="6" t="s">
        <v>370</v>
      </c>
    </row>
    <row r="334" spans="2:2">
      <c r="B334" s="6" t="s">
        <v>370</v>
      </c>
    </row>
    <row r="335" spans="2:2">
      <c r="B335" s="6" t="s">
        <v>370</v>
      </c>
    </row>
    <row r="336" spans="2:2">
      <c r="B336" s="6" t="s">
        <v>370</v>
      </c>
    </row>
    <row r="337" spans="2:2">
      <c r="B337" s="6" t="s">
        <v>370</v>
      </c>
    </row>
    <row r="338" spans="2:2">
      <c r="B338" s="6" t="s">
        <v>370</v>
      </c>
    </row>
    <row r="339" spans="2:2">
      <c r="B339" s="6" t="s">
        <v>370</v>
      </c>
    </row>
    <row r="340" spans="2:2">
      <c r="B340" s="6" t="s">
        <v>370</v>
      </c>
    </row>
    <row r="341" spans="2:2">
      <c r="B341" s="6" t="s">
        <v>370</v>
      </c>
    </row>
    <row r="342" spans="2:2">
      <c r="B342" s="6" t="s">
        <v>370</v>
      </c>
    </row>
    <row r="343" spans="2:2">
      <c r="B343" s="6" t="s">
        <v>370</v>
      </c>
    </row>
    <row r="344" spans="2:2">
      <c r="B344" s="6" t="s">
        <v>370</v>
      </c>
    </row>
    <row r="345" spans="2:2">
      <c r="B345" s="6" t="s">
        <v>370</v>
      </c>
    </row>
    <row r="346" spans="2:2">
      <c r="B346" s="6" t="s">
        <v>400</v>
      </c>
    </row>
    <row r="347" spans="2:2">
      <c r="B347" s="6" t="s">
        <v>400</v>
      </c>
    </row>
    <row r="348" spans="2:2">
      <c r="B348" s="6" t="s">
        <v>400</v>
      </c>
    </row>
    <row r="349" spans="2:2">
      <c r="B349" s="6" t="s">
        <v>400</v>
      </c>
    </row>
    <row r="350" spans="2:2">
      <c r="B350" s="6" t="s">
        <v>400</v>
      </c>
    </row>
    <row r="351" spans="2:2">
      <c r="B351" s="6" t="s">
        <v>400</v>
      </c>
    </row>
    <row r="352" spans="2:2">
      <c r="B352" s="6" t="s">
        <v>400</v>
      </c>
    </row>
    <row r="353" spans="2:2">
      <c r="B353" s="6" t="s">
        <v>400</v>
      </c>
    </row>
    <row r="354" spans="2:2">
      <c r="B354" s="6" t="s">
        <v>400</v>
      </c>
    </row>
    <row r="355" spans="2:2">
      <c r="B355" s="6" t="s">
        <v>400</v>
      </c>
    </row>
    <row r="356" spans="2:2">
      <c r="B356" s="6" t="s">
        <v>400</v>
      </c>
    </row>
    <row r="357" spans="2:2">
      <c r="B357" s="6" t="s">
        <v>400</v>
      </c>
    </row>
    <row r="358" spans="2:2">
      <c r="B358" s="6" t="s">
        <v>400</v>
      </c>
    </row>
    <row r="359" spans="2:2">
      <c r="B359" s="6" t="s">
        <v>400</v>
      </c>
    </row>
    <row r="360" spans="2:2">
      <c r="B360" s="6" t="s">
        <v>400</v>
      </c>
    </row>
    <row r="361" spans="2:2">
      <c r="B361" s="6" t="s">
        <v>400</v>
      </c>
    </row>
    <row r="362" spans="2:2">
      <c r="B362" s="6" t="s">
        <v>400</v>
      </c>
    </row>
    <row r="363" spans="2:2">
      <c r="B363" s="6" t="s">
        <v>370</v>
      </c>
    </row>
    <row r="364" spans="2:2">
      <c r="B364" s="6" t="s">
        <v>376</v>
      </c>
    </row>
    <row r="365" spans="2:2">
      <c r="B365" s="6" t="s">
        <v>376</v>
      </c>
    </row>
    <row r="366" spans="2:2">
      <c r="B366" s="6" t="s">
        <v>370</v>
      </c>
    </row>
    <row r="367" spans="2:2">
      <c r="B367" s="6" t="s">
        <v>376</v>
      </c>
    </row>
    <row r="368" spans="2:2">
      <c r="B368" s="6" t="s">
        <v>376</v>
      </c>
    </row>
    <row r="369" spans="2:2">
      <c r="B369" s="6" t="s">
        <v>370</v>
      </c>
    </row>
    <row r="370" spans="2:2">
      <c r="B370" s="6" t="s">
        <v>376</v>
      </c>
    </row>
    <row r="371" spans="2:2">
      <c r="B371" s="6" t="s">
        <v>396</v>
      </c>
    </row>
    <row r="372" spans="2:2" ht="13.9" thickBot="1">
      <c r="B372" s="7" t="s">
        <v>366</v>
      </c>
    </row>
  </sheetData>
  <autoFilter ref="B1:G1"/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H19"/>
  <sheetViews>
    <sheetView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C25" sqref="C25"/>
    </sheetView>
  </sheetViews>
  <sheetFormatPr defaultColWidth="8.875" defaultRowHeight="13.5"/>
  <cols>
    <col min="1" max="2" width="7.6875" style="42" customWidth="1"/>
    <col min="3" max="3" width="25.125" style="42" customWidth="1"/>
    <col min="4" max="4" width="16.125" style="42" hidden="1" customWidth="1"/>
    <col min="5" max="5" width="12.6875" style="81" hidden="1" customWidth="1"/>
    <col min="6" max="6" width="12.6875" style="81" customWidth="1"/>
    <col min="7" max="7" width="12.6875" style="81" hidden="1" customWidth="1"/>
    <col min="8" max="8" width="19.4375" style="81" customWidth="1"/>
    <col min="9" max="9" width="11.25" style="82" customWidth="1"/>
    <col min="10" max="10" width="10.3125" style="82" customWidth="1"/>
    <col min="11" max="13" width="8.6875" style="82" customWidth="1"/>
    <col min="14" max="14" width="7.6875" style="82" customWidth="1"/>
    <col min="15" max="16" width="8.6875" style="82" customWidth="1"/>
    <col min="17" max="17" width="6.875" style="42" customWidth="1"/>
    <col min="18" max="18" width="8" style="42" customWidth="1"/>
    <col min="19" max="20" width="9" style="42" customWidth="1"/>
    <col min="21" max="21" width="0" style="42" hidden="1" customWidth="1"/>
    <col min="22" max="22" width="10.875" style="42" hidden="1" customWidth="1"/>
    <col min="23" max="23" width="14" style="42" hidden="1" customWidth="1"/>
    <col min="24" max="24" width="0" style="42" hidden="1" customWidth="1"/>
    <col min="25" max="25" width="10.875" style="42" hidden="1" customWidth="1"/>
    <col min="26" max="26" width="14" style="42" hidden="1" customWidth="1"/>
    <col min="27" max="27" width="0" style="42" hidden="1" customWidth="1"/>
    <col min="28" max="28" width="10.875" style="42" hidden="1" customWidth="1"/>
    <col min="29" max="29" width="14" style="42" hidden="1" customWidth="1"/>
    <col min="30" max="30" width="8.875" style="42"/>
    <col min="31" max="31" width="10.875" style="42" customWidth="1"/>
    <col min="32" max="32" width="14" style="42" customWidth="1"/>
    <col min="33" max="16384" width="8.875" style="42"/>
  </cols>
  <sheetData>
    <row r="1" spans="1:34" ht="20.25">
      <c r="A1" s="391" t="s">
        <v>0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40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</row>
    <row r="2" spans="1:34" ht="20.25">
      <c r="A2" s="43" t="s">
        <v>1</v>
      </c>
      <c r="B2" s="44"/>
      <c r="C2" s="392" t="s">
        <v>190</v>
      </c>
      <c r="D2" s="392"/>
      <c r="E2" s="392"/>
      <c r="F2" s="392"/>
      <c r="G2" s="392"/>
      <c r="H2" s="392"/>
      <c r="I2" s="392"/>
      <c r="J2" s="45"/>
      <c r="K2" s="46"/>
      <c r="L2" s="47"/>
      <c r="M2" s="47"/>
      <c r="N2" s="47"/>
      <c r="O2" s="40" t="s">
        <v>189</v>
      </c>
      <c r="P2" s="40">
        <f>COUNTA(C8:T4C1048576)</f>
        <v>1</v>
      </c>
      <c r="Q2" s="8"/>
      <c r="R2" s="8"/>
      <c r="S2" s="8"/>
      <c r="T2" s="8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</row>
    <row r="3" spans="1:34" ht="15.6" customHeight="1">
      <c r="A3" s="43" t="s">
        <v>4</v>
      </c>
      <c r="B3" s="48"/>
      <c r="C3" s="393" t="s">
        <v>191</v>
      </c>
      <c r="D3" s="393"/>
      <c r="E3" s="393"/>
      <c r="F3" s="393"/>
      <c r="G3" s="393"/>
      <c r="H3" s="393"/>
      <c r="I3" s="393"/>
      <c r="J3" s="50" t="s">
        <v>21</v>
      </c>
      <c r="K3" s="50" t="s">
        <v>22</v>
      </c>
      <c r="L3" s="50" t="s">
        <v>23</v>
      </c>
      <c r="M3" s="50" t="s">
        <v>24</v>
      </c>
      <c r="N3" s="50" t="s">
        <v>25</v>
      </c>
      <c r="O3" s="50" t="s">
        <v>26</v>
      </c>
      <c r="P3" s="50" t="s">
        <v>27</v>
      </c>
      <c r="Q3" s="50" t="s">
        <v>28</v>
      </c>
      <c r="R3" s="8"/>
      <c r="S3" s="8"/>
      <c r="T3" s="8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</row>
    <row r="4" spans="1:34" ht="15.6" customHeight="1">
      <c r="A4" s="43" t="s">
        <v>5</v>
      </c>
      <c r="B4" s="48"/>
      <c r="C4" s="393">
        <v>17801</v>
      </c>
      <c r="D4" s="393"/>
      <c r="E4" s="393"/>
      <c r="F4" s="393"/>
      <c r="G4" s="393"/>
      <c r="H4" s="393"/>
      <c r="I4" s="393"/>
      <c r="J4" s="51">
        <v>0.3</v>
      </c>
      <c r="K4" s="51">
        <v>0.2</v>
      </c>
      <c r="L4" s="51">
        <v>0.1</v>
      </c>
      <c r="M4" s="51">
        <v>0.1</v>
      </c>
      <c r="N4" s="51">
        <v>0.1</v>
      </c>
      <c r="O4" s="51">
        <v>0.1</v>
      </c>
      <c r="P4" s="51">
        <v>0.05</v>
      </c>
      <c r="Q4" s="51">
        <v>0.05</v>
      </c>
      <c r="R4" s="8"/>
      <c r="S4" s="8"/>
      <c r="T4" s="8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</row>
    <row r="5" spans="1:34" ht="15">
      <c r="A5" s="8"/>
      <c r="B5" s="8"/>
      <c r="C5" s="8"/>
      <c r="D5" s="8"/>
      <c r="E5" s="8"/>
      <c r="F5" s="8"/>
      <c r="G5" s="8"/>
      <c r="H5" s="8"/>
      <c r="I5" s="52" t="s">
        <v>6</v>
      </c>
      <c r="J5" s="53" t="s">
        <v>7</v>
      </c>
      <c r="K5" s="54" t="s">
        <v>8</v>
      </c>
      <c r="L5" s="55" t="s">
        <v>9</v>
      </c>
      <c r="M5" s="56" t="s">
        <v>10</v>
      </c>
      <c r="N5" s="8"/>
      <c r="O5" s="8"/>
      <c r="P5" s="8"/>
      <c r="Q5" s="8"/>
      <c r="R5" s="8"/>
      <c r="S5" s="8"/>
      <c r="T5" s="8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</row>
    <row r="6" spans="1:34" ht="18.600000000000001" customHeight="1">
      <c r="A6" s="8"/>
      <c r="B6" s="8"/>
      <c r="C6" s="8"/>
      <c r="D6" s="8"/>
      <c r="E6" s="8"/>
      <c r="F6" s="8"/>
      <c r="G6" s="8"/>
      <c r="H6" s="8"/>
      <c r="I6" s="52" t="s">
        <v>11</v>
      </c>
      <c r="J6" s="53" t="s">
        <v>12</v>
      </c>
      <c r="K6" s="54" t="s">
        <v>13</v>
      </c>
      <c r="L6" s="55" t="s">
        <v>14</v>
      </c>
      <c r="M6" s="56" t="s">
        <v>15</v>
      </c>
      <c r="N6" s="8"/>
      <c r="O6" s="8"/>
      <c r="P6" s="8"/>
      <c r="Q6" s="8"/>
      <c r="R6" s="8"/>
      <c r="S6" s="8"/>
      <c r="T6" s="8"/>
      <c r="U6" s="41"/>
      <c r="V6" s="86">
        <v>5000000</v>
      </c>
      <c r="W6" s="86">
        <v>4824728</v>
      </c>
      <c r="X6" s="41"/>
      <c r="Y6" s="86">
        <v>5000000</v>
      </c>
      <c r="Z6" s="86">
        <v>4824728</v>
      </c>
      <c r="AA6" s="41"/>
      <c r="AB6" s="86">
        <v>5000000</v>
      </c>
      <c r="AC6" s="86">
        <v>4824728</v>
      </c>
      <c r="AD6" s="41"/>
      <c r="AE6" s="86">
        <v>5300000</v>
      </c>
      <c r="AF6" s="86">
        <v>3825593.96</v>
      </c>
    </row>
    <row r="7" spans="1:34" s="180" customFormat="1" ht="99.95" customHeight="1">
      <c r="A7" s="177" t="s">
        <v>16</v>
      </c>
      <c r="B7" s="177" t="s">
        <v>17</v>
      </c>
      <c r="C7" s="177" t="s">
        <v>18</v>
      </c>
      <c r="D7" s="177" t="s">
        <v>19</v>
      </c>
      <c r="E7" s="177" t="s">
        <v>20</v>
      </c>
      <c r="F7" s="178" t="s">
        <v>425</v>
      </c>
      <c r="G7" s="177" t="s">
        <v>363</v>
      </c>
      <c r="H7" s="177" t="s">
        <v>359</v>
      </c>
      <c r="I7" s="179" t="s">
        <v>21</v>
      </c>
      <c r="J7" s="179" t="s">
        <v>22</v>
      </c>
      <c r="K7" s="179" t="s">
        <v>23</v>
      </c>
      <c r="L7" s="179" t="s">
        <v>24</v>
      </c>
      <c r="M7" s="179" t="s">
        <v>25</v>
      </c>
      <c r="N7" s="179" t="s">
        <v>26</v>
      </c>
      <c r="O7" s="179" t="s">
        <v>27</v>
      </c>
      <c r="P7" s="179" t="s">
        <v>28</v>
      </c>
      <c r="Q7" s="177" t="s">
        <v>29</v>
      </c>
      <c r="R7" s="177" t="s">
        <v>30</v>
      </c>
      <c r="S7" s="177" t="s">
        <v>667</v>
      </c>
      <c r="T7" s="178" t="s">
        <v>364</v>
      </c>
      <c r="U7" s="179" t="s">
        <v>668</v>
      </c>
      <c r="V7" s="177" t="s">
        <v>420</v>
      </c>
      <c r="W7" s="177" t="s">
        <v>656</v>
      </c>
      <c r="X7" s="179" t="s">
        <v>668</v>
      </c>
      <c r="Y7" s="177" t="s">
        <v>420</v>
      </c>
      <c r="Z7" s="177" t="s">
        <v>673</v>
      </c>
      <c r="AA7" s="179" t="s">
        <v>668</v>
      </c>
      <c r="AB7" s="177" t="s">
        <v>420</v>
      </c>
      <c r="AC7" s="177" t="s">
        <v>680</v>
      </c>
      <c r="AD7" s="179" t="s">
        <v>668</v>
      </c>
      <c r="AE7" s="177" t="s">
        <v>420</v>
      </c>
      <c r="AF7" s="177" t="s">
        <v>755</v>
      </c>
    </row>
    <row r="8" spans="1:34">
      <c r="A8" s="60">
        <f>IF(B8&lt;&gt;"",ROW()-7,"")</f>
        <v>1</v>
      </c>
      <c r="B8" s="61" t="s">
        <v>195</v>
      </c>
      <c r="C8" s="62" t="s">
        <v>208</v>
      </c>
      <c r="D8" s="62" t="s">
        <v>170</v>
      </c>
      <c r="E8" s="62" t="s">
        <v>407</v>
      </c>
      <c r="F8" s="36" t="s">
        <v>435</v>
      </c>
      <c r="G8" s="62"/>
      <c r="H8" s="62" t="s">
        <v>360</v>
      </c>
      <c r="I8" s="77">
        <v>4</v>
      </c>
      <c r="J8" s="77">
        <v>4</v>
      </c>
      <c r="K8" s="77">
        <v>5</v>
      </c>
      <c r="L8" s="77">
        <v>5</v>
      </c>
      <c r="M8" s="77">
        <v>5</v>
      </c>
      <c r="N8" s="77">
        <v>3</v>
      </c>
      <c r="O8" s="77">
        <v>5</v>
      </c>
      <c r="P8" s="77">
        <v>4</v>
      </c>
      <c r="Q8" s="63">
        <f>IF(B8&lt;&gt;"", I8*0.3 + J8*0.2 + K8*0.1 + L8*0.1 + M8*0.1 + N8*0.1 + O8*0.05 + P8*0.05, "")</f>
        <v>4.25</v>
      </c>
      <c r="R8" s="64">
        <f>IF(B8&lt;&gt;"", (($J$4/5)*I8) + (($K$4/5)*J8) + (($L$4/5)*K8) + (($M$4/5)*L8) + (($N$4/5)*M8) + (($O$4/5)*N8) + (($P$4/5)*O8) + (($Q$4/5)*P8), "")</f>
        <v>0.85000000000000009</v>
      </c>
      <c r="S8" s="65" t="str">
        <f t="shared" ref="S8:S18" si="0">IF(B8&lt;&gt;"", IF(Q8=0, "No-Grade",   IF(AND(Q8&gt;=4.5, Q8&lt;=5), "Grade-A",   IF(AND(Q8&gt;=3, Q8&lt;4.5), "Grade-B",   IF(AND(Q8&gt;=2, Q8&lt;3), "Grade-C",   IF(Q8&lt;2, "Grade-D",   "Grade-D"))))), "")</f>
        <v>Grade-B</v>
      </c>
      <c r="T8" s="62">
        <f>IFERROR(VLOOKUP(F8,Database!F:G,2,0),0)</f>
        <v>2000</v>
      </c>
      <c r="U8" s="66">
        <v>1</v>
      </c>
      <c r="V8" s="38">
        <f t="shared" ref="V8:V13" si="1">$W$6/$V$6</f>
        <v>0.96494559999999996</v>
      </c>
      <c r="W8" s="67">
        <f t="shared" ref="W8:W13" si="2">CEILING($R8*$T8*U8*V8,10)</f>
        <v>1650</v>
      </c>
      <c r="X8" s="66">
        <v>1</v>
      </c>
      <c r="Y8" s="38">
        <f t="shared" ref="Y8:Y13" si="3">$W$6/$V$6</f>
        <v>0.96494559999999996</v>
      </c>
      <c r="Z8" s="67">
        <f t="shared" ref="Z8:Z13" si="4">CEILING($R8*$T8*X8*Y8,10)</f>
        <v>1650</v>
      </c>
      <c r="AA8" s="66">
        <v>1</v>
      </c>
      <c r="AB8" s="38">
        <f t="shared" ref="AB8:AB13" si="5">$W$6/$V$6</f>
        <v>0.96494559999999996</v>
      </c>
      <c r="AC8" s="67">
        <f t="shared" ref="AC8:AC13" si="6">CEILING($R8*$T8*AA8*AB8,10)</f>
        <v>1650</v>
      </c>
      <c r="AD8" s="66">
        <v>1</v>
      </c>
      <c r="AE8" s="38">
        <f>$AF$6/$AE$6</f>
        <v>0.72181018113207551</v>
      </c>
      <c r="AF8" s="228">
        <f t="shared" ref="AF8:AF18" si="7">CEILING($R8*$T8*AD8*AE8,10)</f>
        <v>1230</v>
      </c>
    </row>
    <row r="9" spans="1:34">
      <c r="A9" s="68">
        <f t="shared" ref="A9:A15" si="8">IF(B9&lt;&gt;"",ROW()-7,"")</f>
        <v>2</v>
      </c>
      <c r="B9" s="69" t="s">
        <v>238</v>
      </c>
      <c r="C9" s="70" t="s">
        <v>239</v>
      </c>
      <c r="D9" s="70" t="s">
        <v>170</v>
      </c>
      <c r="E9" s="70" t="s">
        <v>170</v>
      </c>
      <c r="F9" s="83" t="s">
        <v>435</v>
      </c>
      <c r="G9" s="70"/>
      <c r="H9" s="62" t="s">
        <v>360</v>
      </c>
      <c r="I9" s="71">
        <v>4</v>
      </c>
      <c r="J9" s="71">
        <v>4</v>
      </c>
      <c r="K9" s="71">
        <v>5</v>
      </c>
      <c r="L9" s="71">
        <v>5</v>
      </c>
      <c r="M9" s="71">
        <v>4</v>
      </c>
      <c r="N9" s="71">
        <v>5</v>
      </c>
      <c r="O9" s="71">
        <v>4</v>
      </c>
      <c r="P9" s="71">
        <v>5</v>
      </c>
      <c r="Q9" s="72">
        <f t="shared" ref="Q9:Q18" si="9">IF(B9&lt;&gt;"", I9*0.3 + J9*0.2 + K9*0.1 + L9*0.1 + M9*0.1 + N9*0.1 + O9*0.05 + P9*0.05, "")</f>
        <v>4.3499999999999996</v>
      </c>
      <c r="R9" s="73">
        <f t="shared" ref="R9:R15" si="10">IF(B9&lt;&gt;"", (($J$4/5)*I9) + (($K$4/5)*J9) + (($L$4/5)*K9) + (($M$4/5)*L9) + (($N$4/5)*M9) + (($O$4/5)*N9) + (($P$4/5)*O9) + (($Q$4/5)*P9), "")</f>
        <v>0.87</v>
      </c>
      <c r="S9" s="74" t="str">
        <f t="shared" si="0"/>
        <v>Grade-B</v>
      </c>
      <c r="T9" s="70">
        <f>IFERROR(VLOOKUP(F9,Database!F:G,2,0),0)</f>
        <v>2000</v>
      </c>
      <c r="U9" s="90">
        <v>0.97</v>
      </c>
      <c r="V9" s="75">
        <f t="shared" si="1"/>
        <v>0.96494559999999996</v>
      </c>
      <c r="W9" s="76">
        <f t="shared" si="2"/>
        <v>1630</v>
      </c>
      <c r="X9" s="90">
        <v>1</v>
      </c>
      <c r="Y9" s="75">
        <f t="shared" si="3"/>
        <v>0.96494559999999996</v>
      </c>
      <c r="Z9" s="76">
        <f t="shared" si="4"/>
        <v>1680</v>
      </c>
      <c r="AA9" s="90">
        <v>1</v>
      </c>
      <c r="AB9" s="75">
        <f t="shared" si="5"/>
        <v>0.96494559999999996</v>
      </c>
      <c r="AC9" s="76">
        <f t="shared" si="6"/>
        <v>1680</v>
      </c>
      <c r="AD9" s="66">
        <v>0.97</v>
      </c>
      <c r="AE9" s="75">
        <f t="shared" ref="AE9:AE18" si="11">$AF$6/$AE$6</f>
        <v>0.72181018113207551</v>
      </c>
      <c r="AF9" s="229">
        <f t="shared" si="7"/>
        <v>1220</v>
      </c>
    </row>
    <row r="10" spans="1:34" s="8" customFormat="1">
      <c r="A10" s="60">
        <f t="shared" si="8"/>
        <v>3</v>
      </c>
      <c r="B10" s="290">
        <v>9529</v>
      </c>
      <c r="C10" s="291" t="s">
        <v>352</v>
      </c>
      <c r="D10" s="291" t="s">
        <v>353</v>
      </c>
      <c r="E10" s="291" t="s">
        <v>406</v>
      </c>
      <c r="F10" s="250" t="s">
        <v>406</v>
      </c>
      <c r="G10" s="291"/>
      <c r="H10" s="291" t="s">
        <v>781</v>
      </c>
      <c r="I10" s="323">
        <v>5</v>
      </c>
      <c r="J10" s="323">
        <v>4</v>
      </c>
      <c r="K10" s="323">
        <v>5</v>
      </c>
      <c r="L10" s="323">
        <v>5</v>
      </c>
      <c r="M10" s="323">
        <v>5</v>
      </c>
      <c r="N10" s="323">
        <v>5</v>
      </c>
      <c r="O10" s="323">
        <v>5</v>
      </c>
      <c r="P10" s="323">
        <v>5</v>
      </c>
      <c r="Q10" s="292">
        <f t="shared" si="9"/>
        <v>4.8</v>
      </c>
      <c r="R10" s="293">
        <f t="shared" si="10"/>
        <v>0.96</v>
      </c>
      <c r="S10" s="294" t="str">
        <f t="shared" si="0"/>
        <v>Grade-A</v>
      </c>
      <c r="T10" s="291">
        <f>IFERROR(VLOOKUP(F10,Database!F:G,2,0),0)</f>
        <v>1200</v>
      </c>
      <c r="U10" s="296">
        <v>1</v>
      </c>
      <c r="V10" s="325">
        <f t="shared" si="1"/>
        <v>0.96494559999999996</v>
      </c>
      <c r="W10" s="298">
        <f t="shared" si="2"/>
        <v>1120</v>
      </c>
      <c r="X10" s="296">
        <v>1</v>
      </c>
      <c r="Y10" s="325">
        <f t="shared" si="3"/>
        <v>0.96494559999999996</v>
      </c>
      <c r="Z10" s="298">
        <f t="shared" si="4"/>
        <v>1120</v>
      </c>
      <c r="AA10" s="296">
        <v>1</v>
      </c>
      <c r="AB10" s="325">
        <f t="shared" si="5"/>
        <v>0.96494559999999996</v>
      </c>
      <c r="AC10" s="298">
        <f t="shared" si="6"/>
        <v>1120</v>
      </c>
      <c r="AD10" s="296">
        <v>0.48</v>
      </c>
      <c r="AE10" s="325">
        <f t="shared" si="11"/>
        <v>0.72181018113207551</v>
      </c>
      <c r="AF10" s="299">
        <f t="shared" si="7"/>
        <v>400</v>
      </c>
      <c r="AG10" s="42"/>
      <c r="AH10" s="42"/>
    </row>
    <row r="11" spans="1:34" hidden="1">
      <c r="A11" s="68">
        <f t="shared" si="8"/>
        <v>4</v>
      </c>
      <c r="B11" s="61">
        <v>11131</v>
      </c>
      <c r="C11" s="62" t="s">
        <v>449</v>
      </c>
      <c r="D11" s="62" t="s">
        <v>436</v>
      </c>
      <c r="E11" s="62"/>
      <c r="F11" s="36" t="s">
        <v>377</v>
      </c>
      <c r="G11" s="62"/>
      <c r="H11" s="62" t="s">
        <v>360</v>
      </c>
      <c r="I11" s="77">
        <v>2</v>
      </c>
      <c r="J11" s="77">
        <v>1</v>
      </c>
      <c r="K11" s="77">
        <v>3</v>
      </c>
      <c r="L11" s="77">
        <v>4</v>
      </c>
      <c r="M11" s="77">
        <v>2</v>
      </c>
      <c r="N11" s="77">
        <v>2</v>
      </c>
      <c r="O11" s="77">
        <v>3</v>
      </c>
      <c r="P11" s="77">
        <v>1</v>
      </c>
      <c r="Q11" s="63">
        <f t="shared" si="9"/>
        <v>2.0999999999999996</v>
      </c>
      <c r="R11" s="64">
        <f t="shared" si="10"/>
        <v>0.41999999999999993</v>
      </c>
      <c r="S11" s="65" t="str">
        <f t="shared" si="0"/>
        <v>Grade-C</v>
      </c>
      <c r="T11" s="62">
        <f>IFERROR(VLOOKUP(F11,Database!F:G,2,0),0)</f>
        <v>1200</v>
      </c>
      <c r="U11" s="66">
        <v>1</v>
      </c>
      <c r="V11" s="38">
        <f t="shared" si="1"/>
        <v>0.96494559999999996</v>
      </c>
      <c r="W11" s="67">
        <f t="shared" si="2"/>
        <v>490</v>
      </c>
      <c r="X11" s="66">
        <v>1</v>
      </c>
      <c r="Y11" s="38">
        <f t="shared" si="3"/>
        <v>0.96494559999999996</v>
      </c>
      <c r="Z11" s="67">
        <f t="shared" si="4"/>
        <v>490</v>
      </c>
      <c r="AA11" s="66">
        <v>1</v>
      </c>
      <c r="AB11" s="38">
        <f t="shared" si="5"/>
        <v>0.96494559999999996</v>
      </c>
      <c r="AC11" s="67">
        <f t="shared" si="6"/>
        <v>490</v>
      </c>
      <c r="AD11" s="66">
        <v>0</v>
      </c>
      <c r="AE11" s="38">
        <f t="shared" si="11"/>
        <v>0.72181018113207551</v>
      </c>
      <c r="AF11" s="228">
        <f t="shared" si="7"/>
        <v>0</v>
      </c>
    </row>
    <row r="12" spans="1:34">
      <c r="A12" s="60">
        <v>4</v>
      </c>
      <c r="B12" s="61">
        <v>10894</v>
      </c>
      <c r="C12" s="62" t="s">
        <v>450</v>
      </c>
      <c r="D12" s="62" t="s">
        <v>436</v>
      </c>
      <c r="E12" s="62"/>
      <c r="F12" s="36" t="s">
        <v>377</v>
      </c>
      <c r="G12" s="62"/>
      <c r="H12" s="62" t="s">
        <v>360</v>
      </c>
      <c r="I12" s="77">
        <v>2</v>
      </c>
      <c r="J12" s="77">
        <v>2</v>
      </c>
      <c r="K12" s="77">
        <v>3</v>
      </c>
      <c r="L12" s="77">
        <v>4</v>
      </c>
      <c r="M12" s="77">
        <v>4</v>
      </c>
      <c r="N12" s="77">
        <v>2</v>
      </c>
      <c r="O12" s="77">
        <v>3</v>
      </c>
      <c r="P12" s="77">
        <v>2</v>
      </c>
      <c r="Q12" s="63">
        <f t="shared" si="9"/>
        <v>2.5500000000000003</v>
      </c>
      <c r="R12" s="64">
        <f t="shared" si="10"/>
        <v>0.51</v>
      </c>
      <c r="S12" s="65" t="str">
        <f t="shared" si="0"/>
        <v>Grade-C</v>
      </c>
      <c r="T12" s="62">
        <f>IFERROR(VLOOKUP(F12,Database!F:G,2,0),0)</f>
        <v>1200</v>
      </c>
      <c r="U12" s="66">
        <v>1</v>
      </c>
      <c r="V12" s="38">
        <f t="shared" si="1"/>
        <v>0.96494559999999996</v>
      </c>
      <c r="W12" s="67">
        <f t="shared" si="2"/>
        <v>600</v>
      </c>
      <c r="X12" s="66">
        <v>1</v>
      </c>
      <c r="Y12" s="38">
        <f t="shared" si="3"/>
        <v>0.96494559999999996</v>
      </c>
      <c r="Z12" s="67">
        <f t="shared" si="4"/>
        <v>600</v>
      </c>
      <c r="AA12" s="66">
        <v>1</v>
      </c>
      <c r="AB12" s="38">
        <f t="shared" si="5"/>
        <v>0.96494559999999996</v>
      </c>
      <c r="AC12" s="67">
        <f t="shared" si="6"/>
        <v>600</v>
      </c>
      <c r="AD12" s="66">
        <v>1</v>
      </c>
      <c r="AE12" s="38">
        <f t="shared" si="11"/>
        <v>0.72181018113207551</v>
      </c>
      <c r="AF12" s="228">
        <f t="shared" si="7"/>
        <v>450</v>
      </c>
    </row>
    <row r="13" spans="1:34" s="8" customFormat="1" hidden="1">
      <c r="A13" s="60">
        <v>5</v>
      </c>
      <c r="B13" s="271">
        <v>26535</v>
      </c>
      <c r="C13" s="272" t="s">
        <v>619</v>
      </c>
      <c r="D13" s="272"/>
      <c r="E13" s="272"/>
      <c r="F13" s="273" t="s">
        <v>405</v>
      </c>
      <c r="G13" s="272"/>
      <c r="H13" s="272" t="s">
        <v>360</v>
      </c>
      <c r="I13" s="274">
        <v>4</v>
      </c>
      <c r="J13" s="274">
        <v>4</v>
      </c>
      <c r="K13" s="274">
        <v>4</v>
      </c>
      <c r="L13" s="274">
        <v>4</v>
      </c>
      <c r="M13" s="274">
        <v>4</v>
      </c>
      <c r="N13" s="274">
        <v>4</v>
      </c>
      <c r="O13" s="274">
        <v>4</v>
      </c>
      <c r="P13" s="274">
        <v>4</v>
      </c>
      <c r="Q13" s="275">
        <f t="shared" si="9"/>
        <v>4</v>
      </c>
      <c r="R13" s="276">
        <f t="shared" si="10"/>
        <v>0.8</v>
      </c>
      <c r="S13" s="277" t="str">
        <f t="shared" si="0"/>
        <v>Grade-B</v>
      </c>
      <c r="T13" s="272">
        <f>IFERROR(VLOOKUP(F13,Database!F:G,2,0),0)</f>
        <v>1400</v>
      </c>
      <c r="U13" s="278">
        <v>1</v>
      </c>
      <c r="V13" s="279">
        <f t="shared" si="1"/>
        <v>0.96494559999999996</v>
      </c>
      <c r="W13" s="280">
        <f t="shared" si="2"/>
        <v>1090</v>
      </c>
      <c r="X13" s="278">
        <v>1</v>
      </c>
      <c r="Y13" s="279">
        <f t="shared" si="3"/>
        <v>0.96494559999999996</v>
      </c>
      <c r="Z13" s="280">
        <f t="shared" si="4"/>
        <v>1090</v>
      </c>
      <c r="AA13" s="278">
        <v>1</v>
      </c>
      <c r="AB13" s="279">
        <f t="shared" si="5"/>
        <v>0.96494559999999996</v>
      </c>
      <c r="AC13" s="280">
        <f t="shared" si="6"/>
        <v>1090</v>
      </c>
      <c r="AD13" s="278">
        <v>0</v>
      </c>
      <c r="AE13" s="279">
        <f t="shared" si="11"/>
        <v>0.72181018113207551</v>
      </c>
      <c r="AF13" s="281">
        <f t="shared" si="7"/>
        <v>0</v>
      </c>
    </row>
    <row r="14" spans="1:34" s="78" customFormat="1">
      <c r="A14" s="259">
        <v>5</v>
      </c>
      <c r="B14" s="260">
        <v>25602</v>
      </c>
      <c r="C14" s="258" t="s">
        <v>742</v>
      </c>
      <c r="D14" s="258"/>
      <c r="E14" s="258"/>
      <c r="F14" s="204" t="s">
        <v>405</v>
      </c>
      <c r="G14" s="258"/>
      <c r="H14" s="258" t="s">
        <v>360</v>
      </c>
      <c r="I14" s="261">
        <v>4</v>
      </c>
      <c r="J14" s="261">
        <v>4</v>
      </c>
      <c r="K14" s="261">
        <v>5</v>
      </c>
      <c r="L14" s="261">
        <v>5</v>
      </c>
      <c r="M14" s="261">
        <v>4</v>
      </c>
      <c r="N14" s="261">
        <v>4</v>
      </c>
      <c r="O14" s="261">
        <v>5</v>
      </c>
      <c r="P14" s="261">
        <v>5</v>
      </c>
      <c r="Q14" s="63">
        <f>IF(B14&lt;&gt;"", I14*0.3 + J14*0.2 + K14*0.1 + L14*0.1 + M14*0.1 + N14*0.1 + O14*0.05 + P14*0.05, "")</f>
        <v>4.3</v>
      </c>
      <c r="R14" s="64">
        <f>IF(B14&lt;&gt;"", (($J$4/5)*I14) + (($K$4/5)*J14) + (($L$4/5)*K14) + (($M$4/5)*L14) + (($N$4/5)*M14) + (($O$4/5)*N14) + (($P$4/5)*O14) + (($Q$4/5)*P14), "")</f>
        <v>0.86</v>
      </c>
      <c r="S14" s="65" t="str">
        <f>IF(B14&lt;&gt;"", IF(Q14=0, "No-Grade",   IF(AND(Q14&gt;=4.5, Q14&lt;=5), "Grade-A",   IF(AND(Q14&gt;=3, Q14&lt;4.5), "Grade-B",   IF(AND(Q14&gt;=2, Q14&lt;3), "Grade-C",   IF(Q14&lt;2, "Grade-D",   "Grade-D"))))), "")</f>
        <v>Grade-B</v>
      </c>
      <c r="T14" s="62">
        <f>IFERROR(VLOOKUP(F14,Database!F:G,2,0),0)</f>
        <v>1400</v>
      </c>
      <c r="U14" s="66"/>
      <c r="V14" s="38"/>
      <c r="W14" s="67"/>
      <c r="X14" s="66"/>
      <c r="Y14" s="38"/>
      <c r="Z14" s="67"/>
      <c r="AA14" s="66"/>
      <c r="AB14" s="38"/>
      <c r="AC14" s="67"/>
      <c r="AD14" s="66">
        <v>1</v>
      </c>
      <c r="AE14" s="38">
        <f t="shared" si="11"/>
        <v>0.72181018113207551</v>
      </c>
      <c r="AF14" s="228">
        <f t="shared" si="7"/>
        <v>870</v>
      </c>
      <c r="AG14" s="42"/>
      <c r="AH14" s="42"/>
    </row>
    <row r="15" spans="1:34" s="78" customFormat="1" hidden="1">
      <c r="A15" s="240">
        <f t="shared" si="8"/>
        <v>8</v>
      </c>
      <c r="B15" s="96">
        <v>6806</v>
      </c>
      <c r="C15" s="97" t="s">
        <v>731</v>
      </c>
      <c r="D15" s="97"/>
      <c r="E15" s="97"/>
      <c r="F15" s="37" t="s">
        <v>382</v>
      </c>
      <c r="G15" s="97"/>
      <c r="H15" s="97" t="s">
        <v>732</v>
      </c>
      <c r="I15" s="98">
        <v>4</v>
      </c>
      <c r="J15" s="98">
        <v>4</v>
      </c>
      <c r="K15" s="98">
        <v>4</v>
      </c>
      <c r="L15" s="98">
        <v>4</v>
      </c>
      <c r="M15" s="98">
        <v>4</v>
      </c>
      <c r="N15" s="98">
        <v>4</v>
      </c>
      <c r="O15" s="98">
        <v>4</v>
      </c>
      <c r="P15" s="98">
        <v>4</v>
      </c>
      <c r="Q15" s="99">
        <f t="shared" si="9"/>
        <v>4</v>
      </c>
      <c r="R15" s="100">
        <f t="shared" si="10"/>
        <v>0.8</v>
      </c>
      <c r="S15" s="101" t="str">
        <f t="shared" si="0"/>
        <v>Grade-B</v>
      </c>
      <c r="T15" s="97">
        <f>IFERROR(VLOOKUP(F15,[1]Database!F:G,2,0),0)</f>
        <v>700</v>
      </c>
      <c r="U15" s="241"/>
      <c r="V15" s="242"/>
      <c r="W15" s="243"/>
      <c r="X15" s="241"/>
      <c r="Y15" s="242"/>
      <c r="Z15" s="243"/>
      <c r="AA15" s="241"/>
      <c r="AB15" s="242"/>
      <c r="AC15" s="243"/>
      <c r="AD15" s="241">
        <v>0</v>
      </c>
      <c r="AE15" s="221">
        <f t="shared" si="11"/>
        <v>0.72181018113207551</v>
      </c>
      <c r="AF15" s="244">
        <f t="shared" si="7"/>
        <v>0</v>
      </c>
      <c r="AG15" s="42"/>
      <c r="AH15" s="42"/>
    </row>
    <row r="16" spans="1:34" s="78" customFormat="1" hidden="1">
      <c r="A16" s="240">
        <f>IF(B16&lt;&gt;"",ROW()-7,"")</f>
        <v>9</v>
      </c>
      <c r="B16" s="245">
        <v>814</v>
      </c>
      <c r="C16" s="246" t="s">
        <v>729</v>
      </c>
      <c r="D16" s="246"/>
      <c r="E16" s="246"/>
      <c r="F16" s="37" t="s">
        <v>382</v>
      </c>
      <c r="G16" s="246"/>
      <c r="H16" s="246" t="s">
        <v>730</v>
      </c>
      <c r="I16" s="247">
        <v>4</v>
      </c>
      <c r="J16" s="247">
        <v>4</v>
      </c>
      <c r="K16" s="247">
        <v>4</v>
      </c>
      <c r="L16" s="247">
        <v>4</v>
      </c>
      <c r="M16" s="247">
        <v>4</v>
      </c>
      <c r="N16" s="247">
        <v>4</v>
      </c>
      <c r="O16" s="247">
        <v>4</v>
      </c>
      <c r="P16" s="247">
        <v>4</v>
      </c>
      <c r="Q16" s="241">
        <f t="shared" si="9"/>
        <v>4</v>
      </c>
      <c r="R16" s="248">
        <f>IF(B16&lt;&gt;"", (($J$4/5)*I16) + (($K$4/5)*J16) + (($L$4/5)*K16) + (($M$4/5)*L16) + (($N$4/5)*M16) + (($O$4/5)*N16) + (($P$4/5)*O16) + (($Q$4/5)*P16), "")</f>
        <v>0.8</v>
      </c>
      <c r="S16" s="249" t="str">
        <f t="shared" si="0"/>
        <v>Grade-B</v>
      </c>
      <c r="T16" s="246">
        <f>IFERROR(VLOOKUP(F16,[2]Database!F:G,2,0),0)</f>
        <v>700</v>
      </c>
      <c r="U16" s="241"/>
      <c r="V16" s="242"/>
      <c r="W16" s="243"/>
      <c r="X16" s="241"/>
      <c r="Y16" s="242"/>
      <c r="Z16" s="243"/>
      <c r="AA16" s="241"/>
      <c r="AB16" s="242"/>
      <c r="AC16" s="243"/>
      <c r="AD16" s="241">
        <v>0</v>
      </c>
      <c r="AE16" s="221">
        <f t="shared" si="11"/>
        <v>0.72181018113207551</v>
      </c>
      <c r="AF16" s="244">
        <f>CEILING($R16*$T16*AD16*AE16,10)</f>
        <v>0</v>
      </c>
      <c r="AG16" s="42"/>
      <c r="AH16" s="42"/>
    </row>
    <row r="17" spans="1:34" s="41" customFormat="1">
      <c r="A17" s="68">
        <v>6</v>
      </c>
      <c r="B17" s="69" t="s">
        <v>196</v>
      </c>
      <c r="C17" s="70" t="s">
        <v>210</v>
      </c>
      <c r="D17" s="70" t="s">
        <v>222</v>
      </c>
      <c r="E17" s="70" t="s">
        <v>408</v>
      </c>
      <c r="F17" s="204" t="s">
        <v>405</v>
      </c>
      <c r="G17" s="70"/>
      <c r="H17" s="70" t="s">
        <v>360</v>
      </c>
      <c r="I17" s="71">
        <v>5</v>
      </c>
      <c r="J17" s="71">
        <v>5</v>
      </c>
      <c r="K17" s="71">
        <v>4</v>
      </c>
      <c r="L17" s="71">
        <v>5</v>
      </c>
      <c r="M17" s="71">
        <v>5</v>
      </c>
      <c r="N17" s="71">
        <v>5</v>
      </c>
      <c r="O17" s="71">
        <v>5</v>
      </c>
      <c r="P17" s="71">
        <v>5</v>
      </c>
      <c r="Q17" s="72">
        <f t="shared" si="9"/>
        <v>4.9000000000000004</v>
      </c>
      <c r="R17" s="212">
        <f>IF(B17&lt;&gt;"", ((Management!$J$4/5)*I17) + ((Management!$K$4/5)*J17) + ((Management!$L$4/5)*K17) + ((Management!$M$4/5)*L17) + ((Management!$N$4/5)*M17) + ((Management!$O$4/5)*N17) + ((Management!$P$4/5)*O17) + ((Management!$Q$4/5)*P17), "")</f>
        <v>0.98</v>
      </c>
      <c r="S17" s="68" t="str">
        <f t="shared" si="0"/>
        <v>Grade-A</v>
      </c>
      <c r="T17" s="70">
        <f>IFERROR(VLOOKUP(F17,Database!F:G,2,0),0)</f>
        <v>1400</v>
      </c>
      <c r="U17" s="90">
        <v>1</v>
      </c>
      <c r="V17" s="75" t="e">
        <f>#REF!</f>
        <v>#REF!</v>
      </c>
      <c r="W17" s="207" t="e">
        <f>CEILING(R17*T17*V17*U17,10)</f>
        <v>#REF!</v>
      </c>
      <c r="X17" s="90">
        <v>1</v>
      </c>
      <c r="Y17" s="75" t="e">
        <f>#REF!</f>
        <v>#REF!</v>
      </c>
      <c r="Z17" s="207" t="e">
        <f>CEILING(R17*T17*X17*Y17,10)</f>
        <v>#REF!</v>
      </c>
      <c r="AD17" s="259">
        <v>1</v>
      </c>
      <c r="AE17" s="75">
        <f t="shared" si="11"/>
        <v>0.72181018113207551</v>
      </c>
      <c r="AF17" s="264">
        <f>CEILING($R17*$T17*AD17*AE17,10)</f>
        <v>1000</v>
      </c>
    </row>
    <row r="18" spans="1:34" s="78" customFormat="1">
      <c r="A18" s="60">
        <v>7</v>
      </c>
      <c r="B18" s="290">
        <v>22681</v>
      </c>
      <c r="C18" s="291" t="s">
        <v>696</v>
      </c>
      <c r="D18" s="291"/>
      <c r="E18" s="291"/>
      <c r="F18" s="250" t="s">
        <v>382</v>
      </c>
      <c r="G18" s="291"/>
      <c r="H18" s="291" t="s">
        <v>779</v>
      </c>
      <c r="I18" s="323">
        <v>5</v>
      </c>
      <c r="J18" s="323">
        <v>5</v>
      </c>
      <c r="K18" s="323">
        <v>5</v>
      </c>
      <c r="L18" s="323">
        <v>5</v>
      </c>
      <c r="M18" s="323">
        <v>4</v>
      </c>
      <c r="N18" s="323">
        <v>4</v>
      </c>
      <c r="O18" s="323">
        <v>5</v>
      </c>
      <c r="P18" s="323">
        <v>5</v>
      </c>
      <c r="Q18" s="292">
        <f t="shared" si="9"/>
        <v>4.8</v>
      </c>
      <c r="R18" s="293">
        <f>IF(B18&lt;&gt;"", (($J$4/5)*I18) + (($K$4/5)*J18) + (($L$4/5)*K18) + (($M$4/5)*L18) + (($N$4/5)*M18) + (($O$4/5)*N18) + (($P$4/5)*O18) + (($Q$4/5)*P18), "")</f>
        <v>0.96</v>
      </c>
      <c r="S18" s="294" t="str">
        <f t="shared" si="0"/>
        <v>Grade-A</v>
      </c>
      <c r="T18" s="291">
        <f>IFERROR(VLOOKUP(F18,Database!F:G,2,0),0)</f>
        <v>700</v>
      </c>
      <c r="U18" s="296"/>
      <c r="V18" s="325"/>
      <c r="W18" s="298"/>
      <c r="X18" s="296"/>
      <c r="Y18" s="325"/>
      <c r="Z18" s="298"/>
      <c r="AA18" s="296"/>
      <c r="AB18" s="325"/>
      <c r="AC18" s="298"/>
      <c r="AD18" s="296">
        <v>0.9</v>
      </c>
      <c r="AE18" s="325">
        <f t="shared" si="11"/>
        <v>0.72181018113207551</v>
      </c>
      <c r="AF18" s="299">
        <f t="shared" si="7"/>
        <v>440</v>
      </c>
      <c r="AG18" s="42"/>
      <c r="AH18" s="42"/>
    </row>
    <row r="19" spans="1:34">
      <c r="A19" s="41"/>
      <c r="B19" s="41"/>
      <c r="C19" s="41"/>
      <c r="D19" s="41"/>
      <c r="E19" s="41"/>
      <c r="F19" s="41"/>
      <c r="G19" s="41"/>
      <c r="H19" s="41"/>
      <c r="I19" s="79"/>
      <c r="J19" s="79"/>
      <c r="K19" s="79"/>
      <c r="L19" s="79"/>
      <c r="M19" s="79"/>
      <c r="N19" s="79"/>
      <c r="O19" s="79"/>
      <c r="P19" s="79"/>
      <c r="Q19" s="41"/>
      <c r="R19" s="41"/>
      <c r="S19" s="41"/>
      <c r="T19" s="80">
        <f>SUM(T8:T18)</f>
        <v>13900</v>
      </c>
      <c r="U19" s="41"/>
      <c r="V19" s="41"/>
      <c r="W19" s="176" t="e">
        <f>SUM(W8:W18)</f>
        <v>#REF!</v>
      </c>
      <c r="X19" s="41"/>
      <c r="Y19" s="41"/>
      <c r="Z19" s="176" t="e">
        <f>SUM(Z8:Z18)</f>
        <v>#REF!</v>
      </c>
      <c r="AA19" s="41"/>
      <c r="AB19" s="41"/>
      <c r="AC19" s="176">
        <f>SUM(AC8:AC18)</f>
        <v>6630</v>
      </c>
      <c r="AD19" s="41"/>
      <c r="AE19" s="41"/>
      <c r="AF19" s="203">
        <f>SUM(AF8:AF18)</f>
        <v>5610</v>
      </c>
    </row>
  </sheetData>
  <mergeCells count="4">
    <mergeCell ref="A1:S1"/>
    <mergeCell ref="C2:I2"/>
    <mergeCell ref="C3:I3"/>
    <mergeCell ref="C4:I4"/>
  </mergeCells>
  <phoneticPr fontId="3" type="noConversion"/>
  <dataValidations count="5">
    <dataValidation allowBlank="1" showInputMessage="1" showErrorMessage="1" prompt="The lowest level of performance. Requires drastic changes for improvement." sqref="M6"/>
    <dataValidation allowBlank="1" showInputMessage="1" showErrorMessage="1" prompt="Performance below expectations. Needs development and significant improvements." sqref="L6"/>
    <dataValidation allowBlank="1" showInputMessage="1" showErrorMessage="1" prompt="Acceptable performance with satisfactory results. Some aspects can be improved." sqref="K6"/>
    <dataValidation allowBlank="1" showInputMessage="1" showErrorMessage="1" prompt="Strong performance with positive results. Shows commitment and excellence." sqref="J6"/>
    <dataValidation allowBlank="1" showInputMessage="1" showErrorMessage="1" prompt="Represents the highest level of performance. Outstanding and exceptional achievements." sqref="I6"/>
  </dataValidations>
  <pageMargins left="0.7" right="0.7" top="0.75" bottom="0.75" header="0.3" footer="0.3"/>
  <pageSetup scale="5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H233"/>
  <sheetViews>
    <sheetView zoomScale="85" zoomScaleNormal="85" workbookViewId="0">
      <pane xSplit="3" ySplit="7" topLeftCell="S107" activePane="bottomRight" state="frozen"/>
      <selection activeCell="G47" sqref="G47"/>
      <selection pane="topRight" activeCell="G47" sqref="G47"/>
      <selection pane="bottomLeft" activeCell="G47" sqref="G47"/>
      <selection pane="bottomRight" activeCell="S34" sqref="S34"/>
    </sheetView>
  </sheetViews>
  <sheetFormatPr defaultColWidth="8.875" defaultRowHeight="13.5"/>
  <cols>
    <col min="1" max="1" width="6" style="42" customWidth="1"/>
    <col min="2" max="2" width="7.875" style="42" customWidth="1"/>
    <col min="3" max="3" width="24" style="42" customWidth="1"/>
    <col min="4" max="4" width="19.125" style="42" hidden="1" customWidth="1"/>
    <col min="5" max="5" width="13.6875" style="81" hidden="1" customWidth="1"/>
    <col min="6" max="6" width="11.3125" style="81" customWidth="1"/>
    <col min="7" max="7" width="8.875" style="82" hidden="1" customWidth="1"/>
    <col min="8" max="8" width="8.6875" style="82" hidden="1" customWidth="1"/>
    <col min="9" max="9" width="41.6875" style="82" customWidth="1"/>
    <col min="10" max="10" width="11.875" style="82" customWidth="1"/>
    <col min="11" max="13" width="8.6875" style="82" customWidth="1"/>
    <col min="14" max="14" width="7.6875" style="82" customWidth="1"/>
    <col min="15" max="16" width="8.6875" style="82" customWidth="1"/>
    <col min="17" max="17" width="6.875" style="42" customWidth="1"/>
    <col min="18" max="18" width="9.6875" style="42" customWidth="1"/>
    <col min="19" max="19" width="13.125" style="42" bestFit="1" customWidth="1"/>
    <col min="20" max="20" width="10.25" style="42" customWidth="1"/>
    <col min="21" max="21" width="9.875" style="42" customWidth="1"/>
    <col min="22" max="22" width="6.125" style="42" hidden="1" customWidth="1"/>
    <col min="23" max="23" width="10.25" style="42" hidden="1" customWidth="1"/>
    <col min="24" max="24" width="9.6875" style="42" hidden="1" customWidth="1"/>
    <col min="25" max="25" width="6.125" style="42" hidden="1" customWidth="1"/>
    <col min="26" max="26" width="10.25" style="42" hidden="1" customWidth="1"/>
    <col min="27" max="27" width="9.6875" style="42" hidden="1" customWidth="1"/>
    <col min="28" max="28" width="6.125" style="42" hidden="1" customWidth="1"/>
    <col min="29" max="29" width="10.25" style="42" hidden="1" customWidth="1"/>
    <col min="30" max="30" width="9.6875" style="42" hidden="1" customWidth="1"/>
    <col min="31" max="31" width="6.125" style="42" customWidth="1"/>
    <col min="32" max="33" width="10.25" style="42" bestFit="1" customWidth="1"/>
    <col min="34" max="36" width="8.875" style="42"/>
    <col min="37" max="37" width="8.875" style="42" customWidth="1"/>
    <col min="38" max="16384" width="8.875" style="42"/>
  </cols>
  <sheetData>
    <row r="1" spans="1:33" ht="20.25">
      <c r="A1" s="391" t="s">
        <v>0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8"/>
      <c r="U1" s="8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3" ht="20.25">
      <c r="A2" s="43" t="s">
        <v>1</v>
      </c>
      <c r="B2" s="44"/>
      <c r="C2" s="392" t="s">
        <v>2</v>
      </c>
      <c r="D2" s="392"/>
      <c r="E2" s="392"/>
      <c r="F2" s="392"/>
      <c r="G2" s="392"/>
      <c r="H2" s="45"/>
      <c r="I2" s="45"/>
      <c r="J2" s="45"/>
      <c r="K2" s="46"/>
      <c r="L2" s="47"/>
      <c r="M2" s="47"/>
      <c r="N2" s="47"/>
      <c r="O2" s="40" t="s">
        <v>189</v>
      </c>
      <c r="P2" s="40">
        <f>COUNTA(C8:C1048576)</f>
        <v>225</v>
      </c>
      <c r="Q2" s="8"/>
      <c r="R2" s="8"/>
      <c r="S2" s="8"/>
      <c r="T2" s="8"/>
      <c r="U2" s="8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</row>
    <row r="3" spans="1:33" ht="15.6" customHeight="1">
      <c r="A3" s="43" t="s">
        <v>4</v>
      </c>
      <c r="B3" s="48"/>
      <c r="C3" s="393" t="s">
        <v>725</v>
      </c>
      <c r="D3" s="393"/>
      <c r="E3" s="393"/>
      <c r="F3" s="393"/>
      <c r="G3" s="393"/>
      <c r="H3" s="49"/>
      <c r="I3" s="50" t="s">
        <v>21</v>
      </c>
      <c r="J3" s="50" t="s">
        <v>22</v>
      </c>
      <c r="K3" s="50" t="s">
        <v>23</v>
      </c>
      <c r="L3" s="50" t="s">
        <v>24</v>
      </c>
      <c r="M3" s="50" t="s">
        <v>25</v>
      </c>
      <c r="N3" s="50" t="s">
        <v>26</v>
      </c>
      <c r="O3" s="50" t="s">
        <v>27</v>
      </c>
      <c r="P3" s="50" t="s">
        <v>28</v>
      </c>
      <c r="Q3" s="8"/>
      <c r="R3" s="8"/>
      <c r="S3" s="8"/>
      <c r="T3" s="8"/>
      <c r="U3" s="8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</row>
    <row r="4" spans="1:33" ht="15.6" customHeight="1">
      <c r="A4" s="43" t="s">
        <v>5</v>
      </c>
      <c r="B4" s="48"/>
      <c r="C4" s="393">
        <v>24693</v>
      </c>
      <c r="D4" s="393"/>
      <c r="E4" s="393"/>
      <c r="F4" s="393"/>
      <c r="G4" s="393"/>
      <c r="H4" s="49"/>
      <c r="I4" s="51">
        <v>0.3</v>
      </c>
      <c r="J4" s="51">
        <v>0.2</v>
      </c>
      <c r="K4" s="51">
        <v>0.1</v>
      </c>
      <c r="L4" s="51">
        <v>0.1</v>
      </c>
      <c r="M4" s="51">
        <v>0.1</v>
      </c>
      <c r="N4" s="51">
        <v>0.1</v>
      </c>
      <c r="O4" s="51">
        <v>0.05</v>
      </c>
      <c r="P4" s="51">
        <v>0.05</v>
      </c>
      <c r="Q4" s="8"/>
      <c r="R4" s="8"/>
      <c r="S4" s="8"/>
      <c r="T4" s="8"/>
      <c r="U4" s="8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</row>
    <row r="5" spans="1:33" ht="15">
      <c r="A5" s="8"/>
      <c r="B5" s="8"/>
      <c r="C5" s="8"/>
      <c r="D5" s="8"/>
      <c r="E5" s="8"/>
      <c r="F5" s="8"/>
      <c r="G5" s="8"/>
      <c r="H5" s="8"/>
      <c r="I5" s="8"/>
      <c r="J5" s="52" t="s">
        <v>6</v>
      </c>
      <c r="K5" s="53" t="s">
        <v>7</v>
      </c>
      <c r="L5" s="54" t="s">
        <v>8</v>
      </c>
      <c r="M5" s="55" t="s">
        <v>9</v>
      </c>
      <c r="N5" s="56" t="s">
        <v>10</v>
      </c>
      <c r="O5" s="8"/>
      <c r="P5" s="8"/>
      <c r="Q5" s="8"/>
      <c r="R5" s="8"/>
      <c r="S5" s="8"/>
      <c r="T5" s="8"/>
      <c r="U5" s="8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</row>
    <row r="6" spans="1:33" ht="18.600000000000001" customHeight="1">
      <c r="A6" s="8"/>
      <c r="B6" s="8"/>
      <c r="C6" s="8"/>
      <c r="D6" s="8"/>
      <c r="E6" s="8"/>
      <c r="F6" s="8"/>
      <c r="G6" s="8"/>
      <c r="H6" s="8"/>
      <c r="I6" s="8"/>
      <c r="J6" s="52" t="s">
        <v>11</v>
      </c>
      <c r="K6" s="53" t="s">
        <v>12</v>
      </c>
      <c r="L6" s="54" t="s">
        <v>13</v>
      </c>
      <c r="M6" s="55" t="s">
        <v>14</v>
      </c>
      <c r="N6" s="56" t="s">
        <v>15</v>
      </c>
      <c r="O6" s="8"/>
      <c r="P6" s="8"/>
      <c r="Q6" s="8"/>
      <c r="R6" s="8"/>
      <c r="S6" s="8"/>
      <c r="T6" s="8"/>
      <c r="U6" s="8"/>
      <c r="V6" s="85"/>
      <c r="W6" s="50">
        <v>4000000</v>
      </c>
      <c r="X6" s="86">
        <v>3587775.9602240655</v>
      </c>
      <c r="Y6" s="85"/>
      <c r="Z6" s="50">
        <v>4000000</v>
      </c>
      <c r="AA6" s="86">
        <v>3587775.9602240655</v>
      </c>
      <c r="AB6" s="85"/>
      <c r="AC6" s="50">
        <v>4000000</v>
      </c>
      <c r="AD6" s="86">
        <v>3587775.9602240655</v>
      </c>
      <c r="AE6" s="85"/>
      <c r="AF6" s="50">
        <v>4300000</v>
      </c>
      <c r="AG6" s="86">
        <v>3191117.5778710945</v>
      </c>
    </row>
    <row r="7" spans="1:33" s="180" customFormat="1" ht="99.95" customHeight="1">
      <c r="A7" s="177" t="s">
        <v>16</v>
      </c>
      <c r="B7" s="177" t="s">
        <v>17</v>
      </c>
      <c r="C7" s="177" t="s">
        <v>18</v>
      </c>
      <c r="D7" s="177" t="s">
        <v>19</v>
      </c>
      <c r="E7" s="177" t="s">
        <v>20</v>
      </c>
      <c r="F7" s="178" t="s">
        <v>425</v>
      </c>
      <c r="G7" s="177" t="s">
        <v>351</v>
      </c>
      <c r="H7" s="177" t="s">
        <v>363</v>
      </c>
      <c r="I7" s="177" t="s">
        <v>359</v>
      </c>
      <c r="J7" s="179" t="s">
        <v>21</v>
      </c>
      <c r="K7" s="179" t="s">
        <v>22</v>
      </c>
      <c r="L7" s="179" t="s">
        <v>23</v>
      </c>
      <c r="M7" s="179" t="s">
        <v>24</v>
      </c>
      <c r="N7" s="179" t="s">
        <v>25</v>
      </c>
      <c r="O7" s="179" t="s">
        <v>26</v>
      </c>
      <c r="P7" s="179" t="s">
        <v>27</v>
      </c>
      <c r="Q7" s="179" t="s">
        <v>28</v>
      </c>
      <c r="R7" s="177" t="s">
        <v>29</v>
      </c>
      <c r="S7" s="179" t="s">
        <v>432</v>
      </c>
      <c r="T7" s="177" t="s">
        <v>31</v>
      </c>
      <c r="U7" s="178" t="s">
        <v>384</v>
      </c>
      <c r="V7" s="179" t="s">
        <v>622</v>
      </c>
      <c r="W7" s="177" t="s">
        <v>367</v>
      </c>
      <c r="X7" s="181" t="s">
        <v>656</v>
      </c>
      <c r="Y7" s="179" t="s">
        <v>622</v>
      </c>
      <c r="Z7" s="177" t="s">
        <v>367</v>
      </c>
      <c r="AA7" s="181" t="s">
        <v>673</v>
      </c>
      <c r="AB7" s="179" t="s">
        <v>622</v>
      </c>
      <c r="AC7" s="177" t="s">
        <v>367</v>
      </c>
      <c r="AD7" s="181" t="s">
        <v>680</v>
      </c>
      <c r="AE7" s="179" t="s">
        <v>622</v>
      </c>
      <c r="AF7" s="177" t="s">
        <v>367</v>
      </c>
      <c r="AG7" s="181" t="s">
        <v>755</v>
      </c>
    </row>
    <row r="8" spans="1:33">
      <c r="A8" s="68">
        <v>1</v>
      </c>
      <c r="B8" s="69">
        <v>2834</v>
      </c>
      <c r="C8" s="70" t="s">
        <v>34</v>
      </c>
      <c r="D8" s="70" t="s">
        <v>33</v>
      </c>
      <c r="E8" s="70" t="s">
        <v>312</v>
      </c>
      <c r="F8" s="83" t="s">
        <v>369</v>
      </c>
      <c r="G8" s="70"/>
      <c r="H8" s="70"/>
      <c r="I8" s="70" t="s">
        <v>360</v>
      </c>
      <c r="J8" s="36">
        <v>5</v>
      </c>
      <c r="K8" s="36">
        <v>5</v>
      </c>
      <c r="L8" s="36">
        <v>5</v>
      </c>
      <c r="M8" s="36">
        <v>5</v>
      </c>
      <c r="N8" s="36">
        <v>4</v>
      </c>
      <c r="O8" s="36">
        <v>5</v>
      </c>
      <c r="P8" s="36">
        <v>4</v>
      </c>
      <c r="Q8" s="36">
        <v>5</v>
      </c>
      <c r="R8" s="63">
        <f t="shared" ref="R8:R71" si="0">IF(B8&lt;&gt;"", J8*0.3 + K8*0.2 + L8*0.1 + M8*0.1 + N8*0.1 + O8*0.1 + P8*0.05 + Q8*0.05, "")</f>
        <v>4.8500000000000005</v>
      </c>
      <c r="S8" s="64">
        <f t="shared" ref="S8:S71" si="1">IF(B8&lt;&gt;"", (($I$4/5)*J8) + (($J$4/5)*K8) + (($K$4/5)*L8) + (($L$4/5)*M8) + (($M$4/5)*N8) + (($N$4/5)*O8) + (($O$4/5)*P8) + (($P$4/5)*Q8), "")</f>
        <v>0.97</v>
      </c>
      <c r="T8" s="65" t="str">
        <f t="shared" ref="T8:T71" si="2">IF(B8&lt;&gt;"", IF(R8=0, "No-Grade",   IF(AND(R8&gt;=4.5, R8&lt;=5), "Grade-A",   IF(AND(R8&gt;=3, R8&lt;4.5), "Grade-B",   IF(AND(R8&gt;=2, R8&lt;3), "Grade-C",   IF(R8&lt;2, "Grade-D",   "Grade-D"))))), "")</f>
        <v>Grade-A</v>
      </c>
      <c r="U8" s="66">
        <f>IFERROR(VLOOKUP(F8,[3]Database!F:G,2,0),0)</f>
        <v>1000</v>
      </c>
      <c r="V8" s="90">
        <v>1</v>
      </c>
      <c r="W8" s="91">
        <v>0.89694399005601633</v>
      </c>
      <c r="X8" s="89">
        <v>780</v>
      </c>
      <c r="Y8" s="90">
        <v>1</v>
      </c>
      <c r="Z8" s="91">
        <v>0.89694399005601633</v>
      </c>
      <c r="AA8" s="89">
        <v>780</v>
      </c>
      <c r="AB8" s="90">
        <v>1</v>
      </c>
      <c r="AC8" s="91">
        <v>0.89694399005601633</v>
      </c>
      <c r="AD8" s="89">
        <v>780</v>
      </c>
      <c r="AE8" s="90">
        <v>1</v>
      </c>
      <c r="AF8" s="91">
        <f>$AG$6/$AF$6</f>
        <v>0.7421203669467662</v>
      </c>
      <c r="AG8" s="234">
        <f>CEILING(S8*U8*AE8*AF8,10)</f>
        <v>720</v>
      </c>
    </row>
    <row r="9" spans="1:33" s="8" customFormat="1">
      <c r="A9" s="60">
        <f>A8+1</f>
        <v>2</v>
      </c>
      <c r="B9" s="61">
        <v>3634</v>
      </c>
      <c r="C9" s="62" t="s">
        <v>35</v>
      </c>
      <c r="D9" s="62" t="s">
        <v>36</v>
      </c>
      <c r="E9" s="62" t="s">
        <v>313</v>
      </c>
      <c r="F9" s="36" t="s">
        <v>366</v>
      </c>
      <c r="G9" s="62"/>
      <c r="H9" s="62"/>
      <c r="I9" s="62" t="s">
        <v>360</v>
      </c>
      <c r="J9" s="36">
        <v>4</v>
      </c>
      <c r="K9" s="36">
        <v>4</v>
      </c>
      <c r="L9" s="36">
        <v>4</v>
      </c>
      <c r="M9" s="36">
        <v>5</v>
      </c>
      <c r="N9" s="36">
        <v>4</v>
      </c>
      <c r="O9" s="36">
        <v>3</v>
      </c>
      <c r="P9" s="36">
        <v>4</v>
      </c>
      <c r="Q9" s="36">
        <v>4</v>
      </c>
      <c r="R9" s="63">
        <f t="shared" si="0"/>
        <v>4</v>
      </c>
      <c r="S9" s="64">
        <f t="shared" si="1"/>
        <v>0.8</v>
      </c>
      <c r="T9" s="65" t="str">
        <f t="shared" si="2"/>
        <v>Grade-B</v>
      </c>
      <c r="U9" s="66">
        <f>IFERROR(VLOOKUP(F9,[3]Database!F:G,2,0),0)</f>
        <v>1300</v>
      </c>
      <c r="V9" s="66">
        <v>1</v>
      </c>
      <c r="W9" s="84">
        <v>0.89694399005601633</v>
      </c>
      <c r="X9" s="87">
        <v>940</v>
      </c>
      <c r="Y9" s="66">
        <v>1</v>
      </c>
      <c r="Z9" s="84">
        <v>0.89694399005601633</v>
      </c>
      <c r="AA9" s="87">
        <v>940</v>
      </c>
      <c r="AB9" s="66">
        <v>1</v>
      </c>
      <c r="AC9" s="84">
        <v>0.89694399005601633</v>
      </c>
      <c r="AD9" s="87">
        <v>940</v>
      </c>
      <c r="AE9" s="66">
        <v>1</v>
      </c>
      <c r="AF9" s="84">
        <f t="shared" ref="AF9:AF72" si="3">$AG$6/$AF$6</f>
        <v>0.7421203669467662</v>
      </c>
      <c r="AG9" s="235">
        <f t="shared" ref="AG9:AG72" si="4">CEILING(S9*U9*AE9*AF9,10)</f>
        <v>780</v>
      </c>
    </row>
    <row r="10" spans="1:33">
      <c r="A10" s="60">
        <f t="shared" ref="A10:A73" si="5">A9+1</f>
        <v>3</v>
      </c>
      <c r="B10" s="61">
        <v>3791</v>
      </c>
      <c r="C10" s="62" t="s">
        <v>37</v>
      </c>
      <c r="D10" s="62" t="s">
        <v>33</v>
      </c>
      <c r="E10" s="62" t="s">
        <v>312</v>
      </c>
      <c r="F10" s="36" t="s">
        <v>369</v>
      </c>
      <c r="G10" s="62"/>
      <c r="H10" s="62"/>
      <c r="I10" s="62" t="s">
        <v>360</v>
      </c>
      <c r="J10" s="36">
        <v>5</v>
      </c>
      <c r="K10" s="36">
        <v>4</v>
      </c>
      <c r="L10" s="36">
        <v>4</v>
      </c>
      <c r="M10" s="36">
        <v>4</v>
      </c>
      <c r="N10" s="36">
        <v>4</v>
      </c>
      <c r="O10" s="36">
        <v>5</v>
      </c>
      <c r="P10" s="36">
        <v>5</v>
      </c>
      <c r="Q10" s="36">
        <v>5</v>
      </c>
      <c r="R10" s="63">
        <f t="shared" si="0"/>
        <v>4.5</v>
      </c>
      <c r="S10" s="64">
        <f t="shared" si="1"/>
        <v>0.89999999999999991</v>
      </c>
      <c r="T10" s="65" t="str">
        <f t="shared" si="2"/>
        <v>Grade-A</v>
      </c>
      <c r="U10" s="66">
        <f>IFERROR(VLOOKUP(F10,[3]Database!F:G,2,0),0)</f>
        <v>1000</v>
      </c>
      <c r="V10" s="66">
        <v>1</v>
      </c>
      <c r="W10" s="84">
        <v>0.89694399005601633</v>
      </c>
      <c r="X10" s="87">
        <v>780</v>
      </c>
      <c r="Y10" s="66">
        <v>1</v>
      </c>
      <c r="Z10" s="84">
        <v>0.89694399005601633</v>
      </c>
      <c r="AA10" s="87">
        <v>780</v>
      </c>
      <c r="AB10" s="66">
        <v>1</v>
      </c>
      <c r="AC10" s="84">
        <v>0.89694399005601633</v>
      </c>
      <c r="AD10" s="87">
        <v>890</v>
      </c>
      <c r="AE10" s="66">
        <v>1</v>
      </c>
      <c r="AF10" s="84">
        <f t="shared" si="3"/>
        <v>0.7421203669467662</v>
      </c>
      <c r="AG10" s="235">
        <f t="shared" si="4"/>
        <v>670</v>
      </c>
    </row>
    <row r="11" spans="1:33">
      <c r="A11" s="60">
        <f t="shared" si="5"/>
        <v>4</v>
      </c>
      <c r="B11" s="69">
        <v>4128</v>
      </c>
      <c r="C11" s="70" t="s">
        <v>38</v>
      </c>
      <c r="D11" s="70" t="s">
        <v>33</v>
      </c>
      <c r="E11" s="70" t="s">
        <v>312</v>
      </c>
      <c r="F11" s="83" t="s">
        <v>369</v>
      </c>
      <c r="G11" s="70"/>
      <c r="H11" s="70"/>
      <c r="I11" s="62" t="s">
        <v>360</v>
      </c>
      <c r="J11" s="36">
        <v>5</v>
      </c>
      <c r="K11" s="36">
        <v>5</v>
      </c>
      <c r="L11" s="36">
        <v>5</v>
      </c>
      <c r="M11" s="36">
        <v>5</v>
      </c>
      <c r="N11" s="36">
        <v>4</v>
      </c>
      <c r="O11" s="36">
        <v>3</v>
      </c>
      <c r="P11" s="36">
        <v>3</v>
      </c>
      <c r="Q11" s="36">
        <v>3</v>
      </c>
      <c r="R11" s="63">
        <f t="shared" si="0"/>
        <v>4.5000000000000009</v>
      </c>
      <c r="S11" s="64">
        <f t="shared" si="1"/>
        <v>0.89999999999999991</v>
      </c>
      <c r="T11" s="65" t="str">
        <f t="shared" si="2"/>
        <v>Grade-A</v>
      </c>
      <c r="U11" s="66">
        <f>IFERROR(VLOOKUP(F11,[3]Database!F:G,2,0),0)</f>
        <v>1000</v>
      </c>
      <c r="V11" s="66">
        <v>1</v>
      </c>
      <c r="W11" s="91">
        <v>0.89694399005601633</v>
      </c>
      <c r="X11" s="89">
        <v>770</v>
      </c>
      <c r="Y11" s="66">
        <v>1</v>
      </c>
      <c r="Z11" s="91">
        <v>0.89694399005601633</v>
      </c>
      <c r="AA11" s="89">
        <v>770</v>
      </c>
      <c r="AB11" s="66">
        <v>1</v>
      </c>
      <c r="AC11" s="91">
        <v>0.89694399005601633</v>
      </c>
      <c r="AD11" s="89">
        <v>770</v>
      </c>
      <c r="AE11" s="66">
        <v>1</v>
      </c>
      <c r="AF11" s="91">
        <f t="shared" si="3"/>
        <v>0.7421203669467662</v>
      </c>
      <c r="AG11" s="234">
        <f t="shared" si="4"/>
        <v>670</v>
      </c>
    </row>
    <row r="12" spans="1:33">
      <c r="A12" s="60">
        <f t="shared" si="5"/>
        <v>5</v>
      </c>
      <c r="B12" s="61">
        <v>4136</v>
      </c>
      <c r="C12" s="62" t="s">
        <v>39</v>
      </c>
      <c r="D12" s="62" t="s">
        <v>33</v>
      </c>
      <c r="E12" s="62" t="s">
        <v>33</v>
      </c>
      <c r="F12" s="36" t="s">
        <v>368</v>
      </c>
      <c r="G12" s="62"/>
      <c r="H12" s="62"/>
      <c r="I12" s="62" t="s">
        <v>360</v>
      </c>
      <c r="J12" s="36">
        <v>5</v>
      </c>
      <c r="K12" s="36">
        <v>5</v>
      </c>
      <c r="L12" s="36">
        <v>4</v>
      </c>
      <c r="M12" s="36">
        <v>3</v>
      </c>
      <c r="N12" s="36">
        <v>4</v>
      </c>
      <c r="O12" s="36">
        <v>5</v>
      </c>
      <c r="P12" s="36">
        <v>4</v>
      </c>
      <c r="Q12" s="36">
        <v>4</v>
      </c>
      <c r="R12" s="63">
        <f t="shared" si="0"/>
        <v>4.5</v>
      </c>
      <c r="S12" s="64">
        <f t="shared" si="1"/>
        <v>0.89999999999999991</v>
      </c>
      <c r="T12" s="65" t="str">
        <f t="shared" si="2"/>
        <v>Grade-A</v>
      </c>
      <c r="U12" s="66">
        <f>IFERROR(VLOOKUP(F12,[3]Database!F:G,2,0),0)</f>
        <v>850</v>
      </c>
      <c r="V12" s="66">
        <v>1</v>
      </c>
      <c r="W12" s="84">
        <v>0.89694399005601633</v>
      </c>
      <c r="X12" s="89">
        <v>650</v>
      </c>
      <c r="Y12" s="66">
        <v>1</v>
      </c>
      <c r="Z12" s="84">
        <v>0.89694399005601633</v>
      </c>
      <c r="AA12" s="89">
        <v>650</v>
      </c>
      <c r="AB12" s="66">
        <v>1</v>
      </c>
      <c r="AC12" s="84">
        <v>0.89694399005601633</v>
      </c>
      <c r="AD12" s="89">
        <v>650</v>
      </c>
      <c r="AE12" s="66">
        <v>1</v>
      </c>
      <c r="AF12" s="84">
        <f t="shared" si="3"/>
        <v>0.7421203669467662</v>
      </c>
      <c r="AG12" s="234">
        <f t="shared" si="4"/>
        <v>570</v>
      </c>
    </row>
    <row r="13" spans="1:33">
      <c r="A13" s="60">
        <f t="shared" si="5"/>
        <v>6</v>
      </c>
      <c r="B13" s="61">
        <v>4414</v>
      </c>
      <c r="C13" s="62" t="s">
        <v>40</v>
      </c>
      <c r="D13" s="62" t="s">
        <v>33</v>
      </c>
      <c r="E13" s="62" t="s">
        <v>312</v>
      </c>
      <c r="F13" s="36" t="s">
        <v>369</v>
      </c>
      <c r="G13" s="62"/>
      <c r="H13" s="62"/>
      <c r="I13" s="62" t="s">
        <v>360</v>
      </c>
      <c r="J13" s="36">
        <v>5</v>
      </c>
      <c r="K13" s="36">
        <v>5</v>
      </c>
      <c r="L13" s="36">
        <v>5</v>
      </c>
      <c r="M13" s="36">
        <v>5</v>
      </c>
      <c r="N13" s="36">
        <v>5</v>
      </c>
      <c r="O13" s="36">
        <v>4</v>
      </c>
      <c r="P13" s="36">
        <v>4</v>
      </c>
      <c r="Q13" s="36">
        <v>5</v>
      </c>
      <c r="R13" s="63">
        <f t="shared" si="0"/>
        <v>4.8500000000000005</v>
      </c>
      <c r="S13" s="64">
        <f t="shared" si="1"/>
        <v>0.97</v>
      </c>
      <c r="T13" s="65" t="str">
        <f t="shared" si="2"/>
        <v>Grade-A</v>
      </c>
      <c r="U13" s="66">
        <f>IFERROR(VLOOKUP(F13,[3]Database!F:G,2,0),0)</f>
        <v>1000</v>
      </c>
      <c r="V13" s="66">
        <v>1</v>
      </c>
      <c r="W13" s="84">
        <v>0.89694399005601633</v>
      </c>
      <c r="X13" s="89">
        <v>860</v>
      </c>
      <c r="Y13" s="66">
        <v>1</v>
      </c>
      <c r="Z13" s="84">
        <v>0.89694399005601633</v>
      </c>
      <c r="AA13" s="89">
        <v>860</v>
      </c>
      <c r="AB13" s="66">
        <v>1</v>
      </c>
      <c r="AC13" s="84">
        <v>0.89694399005601633</v>
      </c>
      <c r="AD13" s="89">
        <v>860</v>
      </c>
      <c r="AE13" s="66">
        <v>1</v>
      </c>
      <c r="AF13" s="84">
        <f t="shared" si="3"/>
        <v>0.7421203669467662</v>
      </c>
      <c r="AG13" s="234">
        <f t="shared" si="4"/>
        <v>720</v>
      </c>
    </row>
    <row r="14" spans="1:33" s="92" customFormat="1">
      <c r="A14" s="60">
        <f t="shared" si="5"/>
        <v>7</v>
      </c>
      <c r="B14" s="69">
        <v>4735</v>
      </c>
      <c r="C14" s="70" t="s">
        <v>41</v>
      </c>
      <c r="D14" s="70" t="s">
        <v>36</v>
      </c>
      <c r="E14" s="70" t="s">
        <v>312</v>
      </c>
      <c r="F14" s="83" t="s">
        <v>369</v>
      </c>
      <c r="G14" s="70"/>
      <c r="H14" s="70"/>
      <c r="I14" s="62" t="s">
        <v>360</v>
      </c>
      <c r="J14" s="83">
        <v>5</v>
      </c>
      <c r="K14" s="83">
        <v>5</v>
      </c>
      <c r="L14" s="83">
        <v>5</v>
      </c>
      <c r="M14" s="83">
        <v>5</v>
      </c>
      <c r="N14" s="83">
        <v>5</v>
      </c>
      <c r="O14" s="83">
        <v>4</v>
      </c>
      <c r="P14" s="83">
        <v>4</v>
      </c>
      <c r="Q14" s="83">
        <v>5</v>
      </c>
      <c r="R14" s="63">
        <f t="shared" si="0"/>
        <v>4.8500000000000005</v>
      </c>
      <c r="S14" s="64">
        <f t="shared" si="1"/>
        <v>0.97</v>
      </c>
      <c r="T14" s="65" t="str">
        <f t="shared" si="2"/>
        <v>Grade-A</v>
      </c>
      <c r="U14" s="66">
        <f>IFERROR(VLOOKUP(F14,[3]Database!F:G,2,0),0)</f>
        <v>1000</v>
      </c>
      <c r="V14" s="90">
        <v>0.37</v>
      </c>
      <c r="W14" s="91">
        <v>0.89694399005601633</v>
      </c>
      <c r="X14" s="89">
        <v>320</v>
      </c>
      <c r="Y14" s="90">
        <v>1</v>
      </c>
      <c r="Z14" s="91">
        <v>0.89694399005601633</v>
      </c>
      <c r="AA14" s="89">
        <v>860</v>
      </c>
      <c r="AB14" s="90">
        <v>1</v>
      </c>
      <c r="AC14" s="91">
        <v>0.89694399005601633</v>
      </c>
      <c r="AD14" s="89">
        <v>860</v>
      </c>
      <c r="AE14" s="90">
        <v>1</v>
      </c>
      <c r="AF14" s="91">
        <f t="shared" si="3"/>
        <v>0.7421203669467662</v>
      </c>
      <c r="AG14" s="234">
        <f t="shared" si="4"/>
        <v>720</v>
      </c>
    </row>
    <row r="15" spans="1:33">
      <c r="A15" s="60">
        <f t="shared" si="5"/>
        <v>8</v>
      </c>
      <c r="B15" s="135">
        <v>4736</v>
      </c>
      <c r="C15" s="136" t="s">
        <v>42</v>
      </c>
      <c r="D15" s="136" t="s">
        <v>43</v>
      </c>
      <c r="E15" s="136" t="s">
        <v>312</v>
      </c>
      <c r="F15" s="137" t="s">
        <v>369</v>
      </c>
      <c r="G15" s="136"/>
      <c r="H15" s="136"/>
      <c r="I15" s="136" t="s">
        <v>749</v>
      </c>
      <c r="J15" s="137">
        <v>5</v>
      </c>
      <c r="K15" s="137">
        <v>5</v>
      </c>
      <c r="L15" s="137">
        <v>5</v>
      </c>
      <c r="M15" s="137">
        <v>5</v>
      </c>
      <c r="N15" s="137">
        <v>5</v>
      </c>
      <c r="O15" s="137">
        <v>4</v>
      </c>
      <c r="P15" s="137">
        <v>4</v>
      </c>
      <c r="Q15" s="137">
        <v>3</v>
      </c>
      <c r="R15" s="253">
        <f t="shared" si="0"/>
        <v>4.7500000000000009</v>
      </c>
      <c r="S15" s="254">
        <f t="shared" si="1"/>
        <v>0.95</v>
      </c>
      <c r="T15" s="255" t="str">
        <f t="shared" si="2"/>
        <v>Grade-A</v>
      </c>
      <c r="U15" s="138">
        <f>IFERROR(VLOOKUP(F15,[3]Database!F:G,2,0),0)</f>
        <v>1000</v>
      </c>
      <c r="V15" s="138">
        <v>1</v>
      </c>
      <c r="W15" s="139">
        <v>0.89694399005601633</v>
      </c>
      <c r="X15" s="187">
        <v>810</v>
      </c>
      <c r="Y15" s="138">
        <v>1</v>
      </c>
      <c r="Z15" s="139">
        <v>0.89694399005601633</v>
      </c>
      <c r="AA15" s="187">
        <v>810</v>
      </c>
      <c r="AB15" s="138">
        <v>1</v>
      </c>
      <c r="AC15" s="139">
        <v>0.89694399005601633</v>
      </c>
      <c r="AD15" s="187">
        <v>810</v>
      </c>
      <c r="AE15" s="138">
        <v>0</v>
      </c>
      <c r="AF15" s="139">
        <f t="shared" si="3"/>
        <v>0.7421203669467662</v>
      </c>
      <c r="AG15" s="236">
        <f t="shared" si="4"/>
        <v>0</v>
      </c>
    </row>
    <row r="16" spans="1:33">
      <c r="A16" s="60">
        <f t="shared" si="5"/>
        <v>9</v>
      </c>
      <c r="B16" s="61">
        <v>4737</v>
      </c>
      <c r="C16" s="62" t="s">
        <v>44</v>
      </c>
      <c r="D16" s="62" t="s">
        <v>33</v>
      </c>
      <c r="E16" s="62" t="s">
        <v>312</v>
      </c>
      <c r="F16" s="36" t="s">
        <v>369</v>
      </c>
      <c r="G16" s="62"/>
      <c r="H16" s="62"/>
      <c r="I16" s="62" t="s">
        <v>360</v>
      </c>
      <c r="J16" s="36">
        <v>5</v>
      </c>
      <c r="K16" s="36">
        <v>5</v>
      </c>
      <c r="L16" s="36">
        <v>5</v>
      </c>
      <c r="M16" s="36">
        <v>5</v>
      </c>
      <c r="N16" s="36">
        <v>5</v>
      </c>
      <c r="O16" s="36">
        <v>4</v>
      </c>
      <c r="P16" s="36">
        <v>5</v>
      </c>
      <c r="Q16" s="36">
        <v>2</v>
      </c>
      <c r="R16" s="63">
        <f t="shared" si="0"/>
        <v>4.75</v>
      </c>
      <c r="S16" s="64">
        <f t="shared" si="1"/>
        <v>0.95</v>
      </c>
      <c r="T16" s="65" t="str">
        <f t="shared" si="2"/>
        <v>Grade-A</v>
      </c>
      <c r="U16" s="66">
        <f>IFERROR(VLOOKUP(F16,[3]Database!F:G,2,0),0)</f>
        <v>1000</v>
      </c>
      <c r="V16" s="66">
        <v>1</v>
      </c>
      <c r="W16" s="84">
        <v>0.89694399005601633</v>
      </c>
      <c r="X16" s="87">
        <v>810</v>
      </c>
      <c r="Y16" s="66">
        <v>1</v>
      </c>
      <c r="Z16" s="84">
        <v>0.89694399005601633</v>
      </c>
      <c r="AA16" s="87">
        <v>810</v>
      </c>
      <c r="AB16" s="66">
        <v>1</v>
      </c>
      <c r="AC16" s="84">
        <v>0.89694399005601633</v>
      </c>
      <c r="AD16" s="87">
        <v>810</v>
      </c>
      <c r="AE16" s="66">
        <v>1</v>
      </c>
      <c r="AF16" s="84">
        <f t="shared" si="3"/>
        <v>0.7421203669467662</v>
      </c>
      <c r="AG16" s="235">
        <f t="shared" si="4"/>
        <v>710</v>
      </c>
    </row>
    <row r="17" spans="1:33">
      <c r="A17" s="60">
        <f t="shared" si="5"/>
        <v>10</v>
      </c>
      <c r="B17" s="61">
        <v>4739</v>
      </c>
      <c r="C17" s="62" t="s">
        <v>45</v>
      </c>
      <c r="D17" s="62" t="s">
        <v>36</v>
      </c>
      <c r="E17" s="62" t="s">
        <v>312</v>
      </c>
      <c r="F17" s="36" t="s">
        <v>369</v>
      </c>
      <c r="G17" s="62"/>
      <c r="H17" s="62"/>
      <c r="I17" s="62" t="s">
        <v>360</v>
      </c>
      <c r="J17" s="36">
        <v>5</v>
      </c>
      <c r="K17" s="36">
        <v>4</v>
      </c>
      <c r="L17" s="36">
        <v>5</v>
      </c>
      <c r="M17" s="36">
        <v>5</v>
      </c>
      <c r="N17" s="36">
        <v>5</v>
      </c>
      <c r="O17" s="36">
        <v>4</v>
      </c>
      <c r="P17" s="36">
        <v>3</v>
      </c>
      <c r="Q17" s="36">
        <v>3</v>
      </c>
      <c r="R17" s="63">
        <f t="shared" si="0"/>
        <v>4.5000000000000009</v>
      </c>
      <c r="S17" s="64">
        <f t="shared" si="1"/>
        <v>0.89999999999999991</v>
      </c>
      <c r="T17" s="65" t="str">
        <f t="shared" si="2"/>
        <v>Grade-A</v>
      </c>
      <c r="U17" s="66">
        <f>IFERROR(VLOOKUP(F17,[3]Database!F:G,2,0),0)</f>
        <v>1000</v>
      </c>
      <c r="V17" s="66">
        <v>1</v>
      </c>
      <c r="W17" s="84">
        <v>0.89694399005601633</v>
      </c>
      <c r="X17" s="87">
        <v>770</v>
      </c>
      <c r="Y17" s="66">
        <v>1</v>
      </c>
      <c r="Z17" s="84">
        <v>0.89694399005601633</v>
      </c>
      <c r="AA17" s="87">
        <v>770</v>
      </c>
      <c r="AB17" s="66">
        <v>1</v>
      </c>
      <c r="AC17" s="84">
        <v>0.89694399005601633</v>
      </c>
      <c r="AD17" s="87">
        <v>860</v>
      </c>
      <c r="AE17" s="66">
        <v>1</v>
      </c>
      <c r="AF17" s="84">
        <f t="shared" si="3"/>
        <v>0.7421203669467662</v>
      </c>
      <c r="AG17" s="235">
        <f t="shared" si="4"/>
        <v>670</v>
      </c>
    </row>
    <row r="18" spans="1:33">
      <c r="A18" s="60">
        <f t="shared" si="5"/>
        <v>11</v>
      </c>
      <c r="B18" s="61">
        <v>4838</v>
      </c>
      <c r="C18" s="62" t="s">
        <v>46</v>
      </c>
      <c r="D18" s="62" t="s">
        <v>36</v>
      </c>
      <c r="E18" s="62" t="s">
        <v>312</v>
      </c>
      <c r="F18" s="36" t="s">
        <v>369</v>
      </c>
      <c r="G18" s="62"/>
      <c r="H18" s="62"/>
      <c r="I18" s="62" t="s">
        <v>360</v>
      </c>
      <c r="J18" s="36">
        <v>5</v>
      </c>
      <c r="K18" s="36">
        <v>5</v>
      </c>
      <c r="L18" s="36">
        <v>5</v>
      </c>
      <c r="M18" s="36">
        <v>5</v>
      </c>
      <c r="N18" s="36">
        <v>4</v>
      </c>
      <c r="O18" s="36">
        <v>5</v>
      </c>
      <c r="P18" s="36">
        <v>4</v>
      </c>
      <c r="Q18" s="36">
        <v>5</v>
      </c>
      <c r="R18" s="63">
        <f t="shared" si="0"/>
        <v>4.8500000000000005</v>
      </c>
      <c r="S18" s="64">
        <f t="shared" si="1"/>
        <v>0.97</v>
      </c>
      <c r="T18" s="65" t="str">
        <f t="shared" si="2"/>
        <v>Grade-A</v>
      </c>
      <c r="U18" s="66">
        <f>IFERROR(VLOOKUP(F18,[3]Database!F:G,2,0),0)</f>
        <v>1000</v>
      </c>
      <c r="V18" s="66">
        <v>1</v>
      </c>
      <c r="W18" s="84">
        <v>0.89694399005601633</v>
      </c>
      <c r="X18" s="89">
        <v>860</v>
      </c>
      <c r="Y18" s="66">
        <v>1</v>
      </c>
      <c r="Z18" s="84">
        <v>0.89694399005601633</v>
      </c>
      <c r="AA18" s="89">
        <v>860</v>
      </c>
      <c r="AB18" s="66">
        <v>1</v>
      </c>
      <c r="AC18" s="84">
        <v>0.89694399005601633</v>
      </c>
      <c r="AD18" s="89">
        <v>860</v>
      </c>
      <c r="AE18" s="66">
        <v>1</v>
      </c>
      <c r="AF18" s="84">
        <f t="shared" si="3"/>
        <v>0.7421203669467662</v>
      </c>
      <c r="AG18" s="234">
        <f t="shared" si="4"/>
        <v>720</v>
      </c>
    </row>
    <row r="19" spans="1:33">
      <c r="A19" s="60">
        <f t="shared" si="5"/>
        <v>12</v>
      </c>
      <c r="B19" s="61">
        <v>15676</v>
      </c>
      <c r="C19" s="62" t="s">
        <v>451</v>
      </c>
      <c r="D19" s="62" t="s">
        <v>36</v>
      </c>
      <c r="E19" s="62" t="s">
        <v>312</v>
      </c>
      <c r="F19" s="36" t="s">
        <v>369</v>
      </c>
      <c r="G19" s="62"/>
      <c r="H19" s="62"/>
      <c r="I19" s="62" t="s">
        <v>360</v>
      </c>
      <c r="J19" s="36">
        <v>5</v>
      </c>
      <c r="K19" s="36">
        <v>5</v>
      </c>
      <c r="L19" s="36">
        <v>5</v>
      </c>
      <c r="M19" s="36">
        <v>5</v>
      </c>
      <c r="N19" s="36">
        <v>4</v>
      </c>
      <c r="O19" s="36">
        <v>4</v>
      </c>
      <c r="P19" s="36">
        <v>4</v>
      </c>
      <c r="Q19" s="36">
        <v>3</v>
      </c>
      <c r="R19" s="63">
        <f t="shared" si="0"/>
        <v>4.6500000000000004</v>
      </c>
      <c r="S19" s="64">
        <f t="shared" si="1"/>
        <v>0.92999999999999994</v>
      </c>
      <c r="T19" s="65" t="str">
        <f t="shared" si="2"/>
        <v>Grade-A</v>
      </c>
      <c r="U19" s="66">
        <f>IFERROR(VLOOKUP(F19,[3]Database!F:G,2,0),0)</f>
        <v>1000</v>
      </c>
      <c r="V19" s="66">
        <v>1</v>
      </c>
      <c r="W19" s="84">
        <v>0.89694399005601633</v>
      </c>
      <c r="X19" s="89">
        <v>810</v>
      </c>
      <c r="Y19" s="66">
        <v>1</v>
      </c>
      <c r="Z19" s="84">
        <v>0.89694399005601633</v>
      </c>
      <c r="AA19" s="89">
        <v>810</v>
      </c>
      <c r="AB19" s="66">
        <v>1</v>
      </c>
      <c r="AC19" s="84">
        <v>0.89694399005601633</v>
      </c>
      <c r="AD19" s="89">
        <v>810</v>
      </c>
      <c r="AE19" s="66">
        <v>1</v>
      </c>
      <c r="AF19" s="84">
        <f t="shared" si="3"/>
        <v>0.7421203669467662</v>
      </c>
      <c r="AG19" s="234">
        <f t="shared" si="4"/>
        <v>700</v>
      </c>
    </row>
    <row r="20" spans="1:33" s="92" customFormat="1">
      <c r="A20" s="60">
        <f t="shared" si="5"/>
        <v>13</v>
      </c>
      <c r="B20" s="69">
        <v>6986</v>
      </c>
      <c r="C20" s="70" t="s">
        <v>47</v>
      </c>
      <c r="D20" s="70" t="s">
        <v>33</v>
      </c>
      <c r="E20" s="70" t="s">
        <v>244</v>
      </c>
      <c r="F20" s="83" t="s">
        <v>365</v>
      </c>
      <c r="G20" s="70"/>
      <c r="H20" s="70"/>
      <c r="I20" s="62" t="s">
        <v>360</v>
      </c>
      <c r="J20" s="77">
        <v>5</v>
      </c>
      <c r="K20" s="77">
        <v>5</v>
      </c>
      <c r="L20" s="77">
        <v>4</v>
      </c>
      <c r="M20" s="77">
        <v>5</v>
      </c>
      <c r="N20" s="77">
        <v>5</v>
      </c>
      <c r="O20" s="77">
        <v>4</v>
      </c>
      <c r="P20" s="77">
        <v>5</v>
      </c>
      <c r="Q20" s="77">
        <v>5</v>
      </c>
      <c r="R20" s="63">
        <f t="shared" si="0"/>
        <v>4.8</v>
      </c>
      <c r="S20" s="64">
        <f t="shared" si="1"/>
        <v>0.96</v>
      </c>
      <c r="T20" s="65" t="str">
        <f t="shared" si="2"/>
        <v>Grade-A</v>
      </c>
      <c r="U20" s="66">
        <f>IFERROR(VLOOKUP(F20,[3]Database!F:G,2,0),0)</f>
        <v>1700</v>
      </c>
      <c r="V20" s="90">
        <v>0.2</v>
      </c>
      <c r="W20" s="91">
        <v>0.89694399005601633</v>
      </c>
      <c r="X20" s="89">
        <v>170</v>
      </c>
      <c r="Y20" s="90">
        <v>1</v>
      </c>
      <c r="Z20" s="91">
        <v>0.89694399005601633</v>
      </c>
      <c r="AA20" s="89">
        <v>830</v>
      </c>
      <c r="AB20" s="90">
        <v>1</v>
      </c>
      <c r="AC20" s="91">
        <v>0.89694399005601633</v>
      </c>
      <c r="AD20" s="89">
        <v>830</v>
      </c>
      <c r="AE20" s="90">
        <v>1</v>
      </c>
      <c r="AF20" s="91">
        <f t="shared" si="3"/>
        <v>0.7421203669467662</v>
      </c>
      <c r="AG20" s="234">
        <f t="shared" si="4"/>
        <v>1220</v>
      </c>
    </row>
    <row r="21" spans="1:33">
      <c r="A21" s="60">
        <f t="shared" si="5"/>
        <v>14</v>
      </c>
      <c r="B21" s="61">
        <v>7692</v>
      </c>
      <c r="C21" s="62" t="s">
        <v>48</v>
      </c>
      <c r="D21" s="62" t="s">
        <v>36</v>
      </c>
      <c r="E21" s="62" t="s">
        <v>312</v>
      </c>
      <c r="F21" s="36" t="s">
        <v>369</v>
      </c>
      <c r="G21" s="62"/>
      <c r="H21" s="62"/>
      <c r="I21" s="62" t="s">
        <v>360</v>
      </c>
      <c r="J21" s="77">
        <v>5</v>
      </c>
      <c r="K21" s="77">
        <v>5</v>
      </c>
      <c r="L21" s="77">
        <v>5</v>
      </c>
      <c r="M21" s="77">
        <v>5</v>
      </c>
      <c r="N21" s="77">
        <v>4</v>
      </c>
      <c r="O21" s="77">
        <v>5</v>
      </c>
      <c r="P21" s="77">
        <v>5</v>
      </c>
      <c r="Q21" s="77">
        <v>4</v>
      </c>
      <c r="R21" s="63">
        <f t="shared" si="0"/>
        <v>4.8500000000000005</v>
      </c>
      <c r="S21" s="64">
        <f t="shared" si="1"/>
        <v>0.97</v>
      </c>
      <c r="T21" s="65" t="str">
        <f t="shared" si="2"/>
        <v>Grade-A</v>
      </c>
      <c r="U21" s="66">
        <f>IFERROR(VLOOKUP(F21,[3]Database!F:G,2,0),0)</f>
        <v>1000</v>
      </c>
      <c r="V21" s="66">
        <v>1</v>
      </c>
      <c r="W21" s="84">
        <v>0.89694399005601633</v>
      </c>
      <c r="X21" s="87">
        <v>860</v>
      </c>
      <c r="Y21" s="66">
        <v>1</v>
      </c>
      <c r="Z21" s="84">
        <v>0.89694399005601633</v>
      </c>
      <c r="AA21" s="87">
        <v>860</v>
      </c>
      <c r="AB21" s="66">
        <v>1</v>
      </c>
      <c r="AC21" s="84">
        <v>0.89694399005601633</v>
      </c>
      <c r="AD21" s="87">
        <v>900</v>
      </c>
      <c r="AE21" s="66">
        <v>1</v>
      </c>
      <c r="AF21" s="84">
        <f t="shared" si="3"/>
        <v>0.7421203669467662</v>
      </c>
      <c r="AG21" s="235">
        <f t="shared" si="4"/>
        <v>720</v>
      </c>
    </row>
    <row r="22" spans="1:33">
      <c r="A22" s="60">
        <f t="shared" si="5"/>
        <v>15</v>
      </c>
      <c r="B22" s="61">
        <v>10850</v>
      </c>
      <c r="C22" s="62" t="s">
        <v>49</v>
      </c>
      <c r="D22" s="62" t="s">
        <v>36</v>
      </c>
      <c r="E22" s="62" t="s">
        <v>312</v>
      </c>
      <c r="F22" s="36" t="s">
        <v>369</v>
      </c>
      <c r="G22" s="62"/>
      <c r="H22" s="62"/>
      <c r="I22" s="62" t="s">
        <v>786</v>
      </c>
      <c r="J22" s="77">
        <v>5</v>
      </c>
      <c r="K22" s="77">
        <v>5</v>
      </c>
      <c r="L22" s="77">
        <v>5</v>
      </c>
      <c r="M22" s="77">
        <v>5</v>
      </c>
      <c r="N22" s="77">
        <v>5</v>
      </c>
      <c r="O22" s="77">
        <v>5</v>
      </c>
      <c r="P22" s="77">
        <v>3</v>
      </c>
      <c r="Q22" s="77">
        <v>4</v>
      </c>
      <c r="R22" s="63">
        <f t="shared" si="0"/>
        <v>4.8500000000000005</v>
      </c>
      <c r="S22" s="64">
        <f t="shared" si="1"/>
        <v>0.97</v>
      </c>
      <c r="T22" s="65" t="str">
        <f t="shared" si="2"/>
        <v>Grade-A</v>
      </c>
      <c r="U22" s="66">
        <f>IFERROR(VLOOKUP(F22,[3]Database!F:G,2,0),0)</f>
        <v>1000</v>
      </c>
      <c r="V22" s="66">
        <v>1</v>
      </c>
      <c r="W22" s="84">
        <v>0.89694399005601633</v>
      </c>
      <c r="X22" s="89">
        <v>810</v>
      </c>
      <c r="Y22" s="66">
        <v>1</v>
      </c>
      <c r="Z22" s="84">
        <v>0.89694399005601633</v>
      </c>
      <c r="AA22" s="89">
        <v>810</v>
      </c>
      <c r="AB22" s="66">
        <v>1</v>
      </c>
      <c r="AC22" s="84">
        <v>0.89694399005601633</v>
      </c>
      <c r="AD22" s="89">
        <v>810</v>
      </c>
      <c r="AE22" s="66">
        <v>0.84</v>
      </c>
      <c r="AF22" s="84">
        <f t="shared" si="3"/>
        <v>0.7421203669467662</v>
      </c>
      <c r="AG22" s="234">
        <f t="shared" si="4"/>
        <v>610</v>
      </c>
    </row>
    <row r="23" spans="1:33" s="8" customFormat="1">
      <c r="A23" s="60">
        <f t="shared" si="5"/>
        <v>16</v>
      </c>
      <c r="B23" s="69">
        <v>17491</v>
      </c>
      <c r="C23" s="70" t="s">
        <v>50</v>
      </c>
      <c r="D23" s="70" t="s">
        <v>33</v>
      </c>
      <c r="E23" s="70" t="s">
        <v>312</v>
      </c>
      <c r="F23" s="83" t="s">
        <v>369</v>
      </c>
      <c r="G23" s="70"/>
      <c r="H23" s="70"/>
      <c r="I23" s="62" t="s">
        <v>360</v>
      </c>
      <c r="J23" s="83">
        <v>5</v>
      </c>
      <c r="K23" s="83">
        <v>4</v>
      </c>
      <c r="L23" s="83">
        <v>4</v>
      </c>
      <c r="M23" s="83">
        <v>4</v>
      </c>
      <c r="N23" s="83">
        <v>4</v>
      </c>
      <c r="O23" s="83">
        <v>5</v>
      </c>
      <c r="P23" s="83">
        <v>3</v>
      </c>
      <c r="Q23" s="83">
        <v>2</v>
      </c>
      <c r="R23" s="63">
        <f t="shared" si="0"/>
        <v>4.2499999999999991</v>
      </c>
      <c r="S23" s="64">
        <f t="shared" si="1"/>
        <v>0.84999999999999987</v>
      </c>
      <c r="T23" s="65" t="str">
        <f t="shared" si="2"/>
        <v>Grade-B</v>
      </c>
      <c r="U23" s="66">
        <f>IFERROR(VLOOKUP(F23,[3]Database!F:G,2,0),0)</f>
        <v>1000</v>
      </c>
      <c r="V23" s="90">
        <v>1</v>
      </c>
      <c r="W23" s="91">
        <v>0.89694399005601633</v>
      </c>
      <c r="X23" s="89">
        <v>770</v>
      </c>
      <c r="Y23" s="90">
        <v>1</v>
      </c>
      <c r="Z23" s="91">
        <v>0.89694399005601633</v>
      </c>
      <c r="AA23" s="89">
        <v>770</v>
      </c>
      <c r="AB23" s="90">
        <v>0.97</v>
      </c>
      <c r="AC23" s="91">
        <v>0.89694399005601633</v>
      </c>
      <c r="AD23" s="89">
        <v>740</v>
      </c>
      <c r="AE23" s="66">
        <v>1</v>
      </c>
      <c r="AF23" s="91">
        <f t="shared" si="3"/>
        <v>0.7421203669467662</v>
      </c>
      <c r="AG23" s="234">
        <f t="shared" si="4"/>
        <v>640</v>
      </c>
    </row>
    <row r="24" spans="1:33">
      <c r="A24" s="60">
        <f t="shared" si="5"/>
        <v>17</v>
      </c>
      <c r="B24" s="61">
        <v>17498</v>
      </c>
      <c r="C24" s="62" t="s">
        <v>51</v>
      </c>
      <c r="D24" s="62" t="s">
        <v>33</v>
      </c>
      <c r="E24" s="62" t="s">
        <v>312</v>
      </c>
      <c r="F24" s="36" t="s">
        <v>369</v>
      </c>
      <c r="G24" s="62"/>
      <c r="H24" s="62"/>
      <c r="I24" s="62" t="s">
        <v>360</v>
      </c>
      <c r="J24" s="77">
        <v>5</v>
      </c>
      <c r="K24" s="77">
        <v>4</v>
      </c>
      <c r="L24" s="77">
        <v>4</v>
      </c>
      <c r="M24" s="77">
        <v>3</v>
      </c>
      <c r="N24" s="77">
        <v>4</v>
      </c>
      <c r="O24" s="77">
        <v>5</v>
      </c>
      <c r="P24" s="77">
        <v>4</v>
      </c>
      <c r="Q24" s="77">
        <v>3</v>
      </c>
      <c r="R24" s="63">
        <f t="shared" si="0"/>
        <v>4.25</v>
      </c>
      <c r="S24" s="64">
        <f t="shared" si="1"/>
        <v>0.84999999999999987</v>
      </c>
      <c r="T24" s="65" t="str">
        <f t="shared" si="2"/>
        <v>Grade-B</v>
      </c>
      <c r="U24" s="66">
        <f>IFERROR(VLOOKUP(F24,[3]Database!F:G,2,0),0)</f>
        <v>1000</v>
      </c>
      <c r="V24" s="66">
        <v>1</v>
      </c>
      <c r="W24" s="84">
        <v>0.89694399005601633</v>
      </c>
      <c r="X24" s="89">
        <v>770</v>
      </c>
      <c r="Y24" s="66">
        <v>1</v>
      </c>
      <c r="Z24" s="84">
        <v>0.89694399005601633</v>
      </c>
      <c r="AA24" s="89">
        <v>770</v>
      </c>
      <c r="AB24" s="66">
        <v>1</v>
      </c>
      <c r="AC24" s="84">
        <v>0.89694399005601633</v>
      </c>
      <c r="AD24" s="89">
        <v>770</v>
      </c>
      <c r="AE24" s="66">
        <v>1</v>
      </c>
      <c r="AF24" s="84">
        <f t="shared" si="3"/>
        <v>0.7421203669467662</v>
      </c>
      <c r="AG24" s="234">
        <f t="shared" si="4"/>
        <v>640</v>
      </c>
    </row>
    <row r="25" spans="1:33" s="8" customFormat="1">
      <c r="A25" s="60">
        <f t="shared" si="5"/>
        <v>18</v>
      </c>
      <c r="B25" s="61">
        <v>17500</v>
      </c>
      <c r="C25" s="62" t="s">
        <v>52</v>
      </c>
      <c r="D25" s="62" t="s">
        <v>33</v>
      </c>
      <c r="E25" s="62" t="s">
        <v>33</v>
      </c>
      <c r="F25" s="36" t="s">
        <v>369</v>
      </c>
      <c r="G25" s="62"/>
      <c r="H25" s="62"/>
      <c r="I25" s="62" t="s">
        <v>360</v>
      </c>
      <c r="J25" s="77">
        <v>5</v>
      </c>
      <c r="K25" s="77">
        <v>4</v>
      </c>
      <c r="L25" s="77">
        <v>4</v>
      </c>
      <c r="M25" s="77">
        <v>4</v>
      </c>
      <c r="N25" s="77">
        <v>5</v>
      </c>
      <c r="O25" s="77">
        <v>5</v>
      </c>
      <c r="P25" s="77">
        <v>4</v>
      </c>
      <c r="Q25" s="77">
        <v>4</v>
      </c>
      <c r="R25" s="63">
        <f t="shared" si="0"/>
        <v>4.5</v>
      </c>
      <c r="S25" s="64">
        <f t="shared" si="1"/>
        <v>0.89999999999999991</v>
      </c>
      <c r="T25" s="65" t="str">
        <f t="shared" si="2"/>
        <v>Grade-A</v>
      </c>
      <c r="U25" s="66">
        <f>IFERROR(VLOOKUP(F25,[3]Database!F:G,2,0),0)</f>
        <v>1000</v>
      </c>
      <c r="V25" s="66">
        <v>1</v>
      </c>
      <c r="W25" s="84">
        <v>0.89694399005601633</v>
      </c>
      <c r="X25" s="87">
        <v>830</v>
      </c>
      <c r="Y25" s="66">
        <v>1</v>
      </c>
      <c r="Z25" s="84">
        <v>0.89694399005601633</v>
      </c>
      <c r="AA25" s="87">
        <v>830</v>
      </c>
      <c r="AB25" s="66">
        <v>1</v>
      </c>
      <c r="AC25" s="84">
        <v>0.89694399005601633</v>
      </c>
      <c r="AD25" s="87">
        <v>830</v>
      </c>
      <c r="AE25" s="66">
        <v>1</v>
      </c>
      <c r="AF25" s="84">
        <f t="shared" si="3"/>
        <v>0.7421203669467662</v>
      </c>
      <c r="AG25" s="235">
        <f t="shared" si="4"/>
        <v>670</v>
      </c>
    </row>
    <row r="26" spans="1:33">
      <c r="A26" s="60">
        <f t="shared" si="5"/>
        <v>19</v>
      </c>
      <c r="B26" s="61">
        <v>17547</v>
      </c>
      <c r="C26" s="62" t="s">
        <v>452</v>
      </c>
      <c r="D26" s="62" t="s">
        <v>33</v>
      </c>
      <c r="E26" s="62" t="s">
        <v>312</v>
      </c>
      <c r="F26" s="36" t="s">
        <v>369</v>
      </c>
      <c r="G26" s="62"/>
      <c r="H26" s="62"/>
      <c r="I26" s="62" t="s">
        <v>360</v>
      </c>
      <c r="J26" s="77">
        <v>5</v>
      </c>
      <c r="K26" s="77">
        <v>5</v>
      </c>
      <c r="L26" s="77">
        <v>5</v>
      </c>
      <c r="M26" s="77">
        <v>5</v>
      </c>
      <c r="N26" s="77">
        <v>4</v>
      </c>
      <c r="O26" s="77">
        <v>5</v>
      </c>
      <c r="P26" s="77">
        <v>4</v>
      </c>
      <c r="Q26" s="77">
        <v>5</v>
      </c>
      <c r="R26" s="63">
        <f t="shared" si="0"/>
        <v>4.8500000000000005</v>
      </c>
      <c r="S26" s="64">
        <f t="shared" si="1"/>
        <v>0.97</v>
      </c>
      <c r="T26" s="65" t="str">
        <f t="shared" si="2"/>
        <v>Grade-A</v>
      </c>
      <c r="U26" s="66">
        <f>IFERROR(VLOOKUP(F26,[3]Database!F:G,2,0),0)</f>
        <v>1000</v>
      </c>
      <c r="V26" s="66">
        <v>1</v>
      </c>
      <c r="W26" s="84">
        <v>0.89694399005601633</v>
      </c>
      <c r="X26" s="87">
        <v>830</v>
      </c>
      <c r="Y26" s="66">
        <v>1</v>
      </c>
      <c r="Z26" s="84">
        <v>0.89694399005601633</v>
      </c>
      <c r="AA26" s="87">
        <v>830</v>
      </c>
      <c r="AB26" s="66">
        <v>1</v>
      </c>
      <c r="AC26" s="84">
        <v>0.89694399005601633</v>
      </c>
      <c r="AD26" s="87">
        <v>830</v>
      </c>
      <c r="AE26" s="66">
        <v>1</v>
      </c>
      <c r="AF26" s="84">
        <f t="shared" si="3"/>
        <v>0.7421203669467662</v>
      </c>
      <c r="AG26" s="235">
        <f t="shared" si="4"/>
        <v>720</v>
      </c>
    </row>
    <row r="27" spans="1:33">
      <c r="A27" s="60">
        <f t="shared" si="5"/>
        <v>20</v>
      </c>
      <c r="B27" s="61">
        <v>17585</v>
      </c>
      <c r="C27" s="62" t="s">
        <v>53</v>
      </c>
      <c r="D27" s="62" t="s">
        <v>33</v>
      </c>
      <c r="E27" s="62" t="s">
        <v>33</v>
      </c>
      <c r="F27" s="36" t="s">
        <v>368</v>
      </c>
      <c r="G27" s="62"/>
      <c r="H27" s="62"/>
      <c r="I27" s="62" t="s">
        <v>360</v>
      </c>
      <c r="J27" s="77">
        <v>5</v>
      </c>
      <c r="K27" s="77">
        <v>5</v>
      </c>
      <c r="L27" s="77">
        <v>5</v>
      </c>
      <c r="M27" s="77">
        <v>5</v>
      </c>
      <c r="N27" s="77">
        <v>5</v>
      </c>
      <c r="O27" s="77">
        <v>4</v>
      </c>
      <c r="P27" s="77">
        <v>3</v>
      </c>
      <c r="Q27" s="77">
        <v>5</v>
      </c>
      <c r="R27" s="63">
        <f t="shared" si="0"/>
        <v>4.8000000000000007</v>
      </c>
      <c r="S27" s="64">
        <f t="shared" si="1"/>
        <v>0.96</v>
      </c>
      <c r="T27" s="65" t="str">
        <f t="shared" si="2"/>
        <v>Grade-A</v>
      </c>
      <c r="U27" s="66">
        <f>IFERROR(VLOOKUP(F27,[3]Database!F:G,2,0),0)</f>
        <v>850</v>
      </c>
      <c r="V27" s="66">
        <v>1</v>
      </c>
      <c r="W27" s="84">
        <v>0.89694399005601633</v>
      </c>
      <c r="X27" s="89">
        <v>690</v>
      </c>
      <c r="Y27" s="66">
        <v>1</v>
      </c>
      <c r="Z27" s="84">
        <v>0.89694399005601633</v>
      </c>
      <c r="AA27" s="89">
        <v>690</v>
      </c>
      <c r="AB27" s="66">
        <v>1</v>
      </c>
      <c r="AC27" s="84">
        <v>0.89694399005601633</v>
      </c>
      <c r="AD27" s="89">
        <v>690</v>
      </c>
      <c r="AE27" s="66">
        <v>1</v>
      </c>
      <c r="AF27" s="84">
        <f t="shared" si="3"/>
        <v>0.7421203669467662</v>
      </c>
      <c r="AG27" s="234">
        <f t="shared" si="4"/>
        <v>610</v>
      </c>
    </row>
    <row r="28" spans="1:33">
      <c r="A28" s="60">
        <f t="shared" si="5"/>
        <v>21</v>
      </c>
      <c r="B28" s="69">
        <v>17708</v>
      </c>
      <c r="C28" s="70" t="s">
        <v>54</v>
      </c>
      <c r="D28" s="70" t="s">
        <v>55</v>
      </c>
      <c r="E28" s="70" t="s">
        <v>33</v>
      </c>
      <c r="F28" s="83" t="s">
        <v>369</v>
      </c>
      <c r="G28" s="70"/>
      <c r="H28" s="70"/>
      <c r="I28" s="62" t="s">
        <v>360</v>
      </c>
      <c r="J28" s="71">
        <v>5</v>
      </c>
      <c r="K28" s="71">
        <v>5</v>
      </c>
      <c r="L28" s="71">
        <v>4</v>
      </c>
      <c r="M28" s="71">
        <v>5</v>
      </c>
      <c r="N28" s="71">
        <v>5</v>
      </c>
      <c r="O28" s="71">
        <v>5</v>
      </c>
      <c r="P28" s="71">
        <v>3</v>
      </c>
      <c r="Q28" s="71">
        <v>4</v>
      </c>
      <c r="R28" s="63">
        <f t="shared" si="0"/>
        <v>4.7500000000000009</v>
      </c>
      <c r="S28" s="64">
        <f t="shared" si="1"/>
        <v>0.95</v>
      </c>
      <c r="T28" s="65" t="str">
        <f t="shared" si="2"/>
        <v>Grade-A</v>
      </c>
      <c r="U28" s="66">
        <f>IFERROR(VLOOKUP(F28,[3]Database!F:G,2,0),0)</f>
        <v>1000</v>
      </c>
      <c r="V28" s="90">
        <v>1</v>
      </c>
      <c r="W28" s="91">
        <v>0.89694399005601633</v>
      </c>
      <c r="X28" s="89">
        <v>790</v>
      </c>
      <c r="Y28" s="90">
        <v>0.48</v>
      </c>
      <c r="Z28" s="91">
        <v>0.89694399005601633</v>
      </c>
      <c r="AA28" s="89">
        <v>380</v>
      </c>
      <c r="AB28" s="90">
        <v>0.97</v>
      </c>
      <c r="AC28" s="91">
        <v>0.89694399005601633</v>
      </c>
      <c r="AD28" s="89">
        <v>770</v>
      </c>
      <c r="AE28" s="90">
        <v>1</v>
      </c>
      <c r="AF28" s="91">
        <f t="shared" si="3"/>
        <v>0.7421203669467662</v>
      </c>
      <c r="AG28" s="234">
        <f t="shared" si="4"/>
        <v>710</v>
      </c>
    </row>
    <row r="29" spans="1:33" s="8" customFormat="1">
      <c r="A29" s="60">
        <f t="shared" si="5"/>
        <v>22</v>
      </c>
      <c r="B29" s="61">
        <v>17735</v>
      </c>
      <c r="C29" s="62" t="s">
        <v>56</v>
      </c>
      <c r="D29" s="62" t="s">
        <v>33</v>
      </c>
      <c r="E29" s="62" t="s">
        <v>33</v>
      </c>
      <c r="F29" s="36" t="s">
        <v>369</v>
      </c>
      <c r="G29" s="62"/>
      <c r="H29" s="62"/>
      <c r="I29" s="62" t="s">
        <v>360</v>
      </c>
      <c r="J29" s="77">
        <v>5</v>
      </c>
      <c r="K29" s="77">
        <v>5</v>
      </c>
      <c r="L29" s="77">
        <v>5</v>
      </c>
      <c r="M29" s="77">
        <v>5</v>
      </c>
      <c r="N29" s="77">
        <v>4</v>
      </c>
      <c r="O29" s="77">
        <v>4</v>
      </c>
      <c r="P29" s="77">
        <v>5</v>
      </c>
      <c r="Q29" s="77">
        <v>5</v>
      </c>
      <c r="R29" s="63">
        <f t="shared" si="0"/>
        <v>4.8</v>
      </c>
      <c r="S29" s="64">
        <f t="shared" si="1"/>
        <v>0.96</v>
      </c>
      <c r="T29" s="65" t="str">
        <f t="shared" si="2"/>
        <v>Grade-A</v>
      </c>
      <c r="U29" s="66">
        <f>IFERROR(VLOOKUP(F29,[3]Database!F:G,2,0),0)</f>
        <v>1000</v>
      </c>
      <c r="V29" s="66">
        <v>1</v>
      </c>
      <c r="W29" s="84">
        <v>0.89694399005601633</v>
      </c>
      <c r="X29" s="89">
        <v>770</v>
      </c>
      <c r="Y29" s="66">
        <v>1</v>
      </c>
      <c r="Z29" s="84">
        <v>0.89694399005601633</v>
      </c>
      <c r="AA29" s="89">
        <v>770</v>
      </c>
      <c r="AB29" s="66">
        <v>1</v>
      </c>
      <c r="AC29" s="84">
        <v>0.89694399005601633</v>
      </c>
      <c r="AD29" s="89">
        <v>770</v>
      </c>
      <c r="AE29" s="66">
        <v>1</v>
      </c>
      <c r="AF29" s="84">
        <f t="shared" si="3"/>
        <v>0.7421203669467662</v>
      </c>
      <c r="AG29" s="234">
        <f t="shared" si="4"/>
        <v>720</v>
      </c>
    </row>
    <row r="30" spans="1:33" s="8" customFormat="1">
      <c r="A30" s="60">
        <f t="shared" si="5"/>
        <v>23</v>
      </c>
      <c r="B30" s="61">
        <v>17762</v>
      </c>
      <c r="C30" s="62" t="s">
        <v>57</v>
      </c>
      <c r="D30" s="62" t="s">
        <v>33</v>
      </c>
      <c r="E30" s="62" t="s">
        <v>312</v>
      </c>
      <c r="F30" s="36" t="s">
        <v>369</v>
      </c>
      <c r="G30" s="62"/>
      <c r="H30" s="62"/>
      <c r="I30" s="62" t="s">
        <v>360</v>
      </c>
      <c r="J30" s="71">
        <v>5</v>
      </c>
      <c r="K30" s="71">
        <v>5</v>
      </c>
      <c r="L30" s="71">
        <v>5</v>
      </c>
      <c r="M30" s="71">
        <v>5</v>
      </c>
      <c r="N30" s="71">
        <v>5</v>
      </c>
      <c r="O30" s="71">
        <v>4</v>
      </c>
      <c r="P30" s="71">
        <v>3</v>
      </c>
      <c r="Q30" s="71">
        <v>4</v>
      </c>
      <c r="R30" s="63">
        <f t="shared" si="0"/>
        <v>4.7500000000000009</v>
      </c>
      <c r="S30" s="64">
        <f t="shared" si="1"/>
        <v>0.95</v>
      </c>
      <c r="T30" s="65" t="str">
        <f t="shared" si="2"/>
        <v>Grade-A</v>
      </c>
      <c r="U30" s="66">
        <f>IFERROR(VLOOKUP(F30,[3]Database!F:G,2,0),0)</f>
        <v>1000</v>
      </c>
      <c r="V30" s="66">
        <v>1</v>
      </c>
      <c r="W30" s="84">
        <v>0.89694399005601633</v>
      </c>
      <c r="X30" s="87">
        <v>860</v>
      </c>
      <c r="Y30" s="66">
        <v>1</v>
      </c>
      <c r="Z30" s="84">
        <v>0.89694399005601633</v>
      </c>
      <c r="AA30" s="87">
        <v>860</v>
      </c>
      <c r="AB30" s="66">
        <v>1</v>
      </c>
      <c r="AC30" s="84">
        <v>0.89694399005601633</v>
      </c>
      <c r="AD30" s="87">
        <v>860</v>
      </c>
      <c r="AE30" s="66">
        <v>0.97</v>
      </c>
      <c r="AF30" s="84">
        <f t="shared" si="3"/>
        <v>0.7421203669467662</v>
      </c>
      <c r="AG30" s="235">
        <f t="shared" si="4"/>
        <v>690</v>
      </c>
    </row>
    <row r="31" spans="1:33">
      <c r="A31" s="60">
        <f t="shared" si="5"/>
        <v>24</v>
      </c>
      <c r="B31" s="61">
        <v>16439</v>
      </c>
      <c r="C31" s="62" t="s">
        <v>58</v>
      </c>
      <c r="D31" s="62" t="s">
        <v>32</v>
      </c>
      <c r="E31" s="62" t="s">
        <v>33</v>
      </c>
      <c r="F31" s="36" t="s">
        <v>368</v>
      </c>
      <c r="G31" s="62"/>
      <c r="H31" s="62"/>
      <c r="I31" s="62" t="s">
        <v>360</v>
      </c>
      <c r="J31" s="77">
        <v>5</v>
      </c>
      <c r="K31" s="77">
        <v>5</v>
      </c>
      <c r="L31" s="77">
        <v>3</v>
      </c>
      <c r="M31" s="77">
        <v>5</v>
      </c>
      <c r="N31" s="77">
        <v>5</v>
      </c>
      <c r="O31" s="77">
        <v>4</v>
      </c>
      <c r="P31" s="77">
        <v>5</v>
      </c>
      <c r="Q31" s="77">
        <v>4</v>
      </c>
      <c r="R31" s="63">
        <f t="shared" si="0"/>
        <v>4.6500000000000004</v>
      </c>
      <c r="S31" s="64">
        <f t="shared" si="1"/>
        <v>0.93</v>
      </c>
      <c r="T31" s="65" t="str">
        <f t="shared" si="2"/>
        <v>Grade-A</v>
      </c>
      <c r="U31" s="66">
        <f>IFERROR(VLOOKUP(F31,[3]Database!F:G,2,0),0)</f>
        <v>850</v>
      </c>
      <c r="V31" s="66">
        <v>1</v>
      </c>
      <c r="W31" s="84">
        <v>0.89694399005601633</v>
      </c>
      <c r="X31" s="89">
        <v>660</v>
      </c>
      <c r="Y31" s="66">
        <v>1</v>
      </c>
      <c r="Z31" s="84">
        <v>0.89694399005601633</v>
      </c>
      <c r="AA31" s="89">
        <v>660</v>
      </c>
      <c r="AB31" s="66">
        <v>0.42</v>
      </c>
      <c r="AC31" s="84">
        <v>0.89694399005601633</v>
      </c>
      <c r="AD31" s="89">
        <v>280</v>
      </c>
      <c r="AE31" s="66">
        <v>1</v>
      </c>
      <c r="AF31" s="84">
        <f t="shared" si="3"/>
        <v>0.7421203669467662</v>
      </c>
      <c r="AG31" s="234">
        <f t="shared" si="4"/>
        <v>590</v>
      </c>
    </row>
    <row r="32" spans="1:33">
      <c r="A32" s="60">
        <f t="shared" si="5"/>
        <v>25</v>
      </c>
      <c r="B32" s="61">
        <v>6594</v>
      </c>
      <c r="C32" s="62" t="s">
        <v>59</v>
      </c>
      <c r="D32" s="62" t="s">
        <v>60</v>
      </c>
      <c r="E32" s="62" t="s">
        <v>60</v>
      </c>
      <c r="F32" s="36" t="s">
        <v>368</v>
      </c>
      <c r="G32" s="62"/>
      <c r="H32" s="62"/>
      <c r="I32" s="62" t="s">
        <v>360</v>
      </c>
      <c r="J32" s="77">
        <v>5</v>
      </c>
      <c r="K32" s="77">
        <v>5</v>
      </c>
      <c r="L32" s="77">
        <v>5</v>
      </c>
      <c r="M32" s="77">
        <v>5</v>
      </c>
      <c r="N32" s="77">
        <v>5</v>
      </c>
      <c r="O32" s="77">
        <v>4</v>
      </c>
      <c r="P32" s="77">
        <v>4</v>
      </c>
      <c r="Q32" s="77">
        <v>5</v>
      </c>
      <c r="R32" s="63">
        <f t="shared" si="0"/>
        <v>4.8500000000000005</v>
      </c>
      <c r="S32" s="64">
        <f t="shared" si="1"/>
        <v>0.97</v>
      </c>
      <c r="T32" s="65" t="str">
        <f t="shared" si="2"/>
        <v>Grade-A</v>
      </c>
      <c r="U32" s="66">
        <f>IFERROR(VLOOKUP(F32,[3]Database!F:G,2,0),0)</f>
        <v>850</v>
      </c>
      <c r="V32" s="66">
        <v>1</v>
      </c>
      <c r="W32" s="84">
        <v>0.89694399005601633</v>
      </c>
      <c r="X32" s="89">
        <v>740</v>
      </c>
      <c r="Y32" s="66">
        <v>1</v>
      </c>
      <c r="Z32" s="84">
        <v>0.89694399005601633</v>
      </c>
      <c r="AA32" s="89">
        <v>740</v>
      </c>
      <c r="AB32" s="66">
        <v>1</v>
      </c>
      <c r="AC32" s="84">
        <v>0.89694399005601633</v>
      </c>
      <c r="AD32" s="89">
        <v>740</v>
      </c>
      <c r="AE32" s="66">
        <v>1</v>
      </c>
      <c r="AF32" s="84">
        <f t="shared" si="3"/>
        <v>0.7421203669467662</v>
      </c>
      <c r="AG32" s="234">
        <f t="shared" si="4"/>
        <v>620</v>
      </c>
    </row>
    <row r="33" spans="1:33">
      <c r="A33" s="60">
        <f t="shared" si="5"/>
        <v>26</v>
      </c>
      <c r="B33" s="61">
        <v>732</v>
      </c>
      <c r="C33" s="62" t="s">
        <v>61</v>
      </c>
      <c r="D33" s="62" t="s">
        <v>60</v>
      </c>
      <c r="E33" s="62" t="s">
        <v>60</v>
      </c>
      <c r="F33" s="37" t="s">
        <v>387</v>
      </c>
      <c r="G33" s="62"/>
      <c r="H33" s="62"/>
      <c r="I33" s="62" t="s">
        <v>360</v>
      </c>
      <c r="J33" s="77">
        <v>5</v>
      </c>
      <c r="K33" s="77">
        <v>5</v>
      </c>
      <c r="L33" s="77">
        <v>3</v>
      </c>
      <c r="M33" s="77">
        <v>5</v>
      </c>
      <c r="N33" s="77">
        <v>5</v>
      </c>
      <c r="O33" s="77">
        <v>5</v>
      </c>
      <c r="P33" s="77">
        <v>4</v>
      </c>
      <c r="Q33" s="77">
        <v>5</v>
      </c>
      <c r="R33" s="63">
        <f t="shared" si="0"/>
        <v>4.75</v>
      </c>
      <c r="S33" s="64">
        <f t="shared" si="1"/>
        <v>0.95000000000000007</v>
      </c>
      <c r="T33" s="65" t="str">
        <f t="shared" si="2"/>
        <v>Grade-A</v>
      </c>
      <c r="U33" s="66">
        <f>IFERROR(VLOOKUP(F33,[3]Database!F:G,2,0),0)</f>
        <v>800</v>
      </c>
      <c r="V33" s="66">
        <v>1</v>
      </c>
      <c r="W33" s="84">
        <v>0.89694399005601633</v>
      </c>
      <c r="X33" s="89">
        <v>440</v>
      </c>
      <c r="Y33" s="66">
        <v>1</v>
      </c>
      <c r="Z33" s="84">
        <v>0.89694399005601633</v>
      </c>
      <c r="AA33" s="89">
        <v>440</v>
      </c>
      <c r="AB33" s="66">
        <v>1</v>
      </c>
      <c r="AC33" s="84">
        <v>0.89694399005601633</v>
      </c>
      <c r="AD33" s="89">
        <v>440</v>
      </c>
      <c r="AE33" s="66">
        <v>1</v>
      </c>
      <c r="AF33" s="84">
        <f t="shared" si="3"/>
        <v>0.7421203669467662</v>
      </c>
      <c r="AG33" s="234">
        <f t="shared" si="4"/>
        <v>570</v>
      </c>
    </row>
    <row r="34" spans="1:33" s="41" customFormat="1">
      <c r="A34" s="60">
        <f t="shared" si="5"/>
        <v>27</v>
      </c>
      <c r="B34" s="69">
        <v>4841</v>
      </c>
      <c r="C34" s="70" t="s">
        <v>62</v>
      </c>
      <c r="D34" s="70" t="s">
        <v>33</v>
      </c>
      <c r="E34" s="70" t="s">
        <v>312</v>
      </c>
      <c r="F34" s="83" t="s">
        <v>369</v>
      </c>
      <c r="G34" s="70"/>
      <c r="H34" s="70"/>
      <c r="I34" s="62" t="s">
        <v>360</v>
      </c>
      <c r="J34" s="71">
        <v>5</v>
      </c>
      <c r="K34" s="71">
        <v>5</v>
      </c>
      <c r="L34" s="71">
        <v>4</v>
      </c>
      <c r="M34" s="71">
        <v>4</v>
      </c>
      <c r="N34" s="71">
        <v>5</v>
      </c>
      <c r="O34" s="71">
        <v>5</v>
      </c>
      <c r="P34" s="71">
        <v>5</v>
      </c>
      <c r="Q34" s="71">
        <v>4</v>
      </c>
      <c r="R34" s="63">
        <f t="shared" si="0"/>
        <v>4.75</v>
      </c>
      <c r="S34" s="64">
        <f t="shared" si="1"/>
        <v>0.95</v>
      </c>
      <c r="T34" s="65" t="str">
        <f t="shared" si="2"/>
        <v>Grade-A</v>
      </c>
      <c r="U34" s="66">
        <f>IFERROR(VLOOKUP(F34,[3]Database!F:G,2,0),0)</f>
        <v>1000</v>
      </c>
      <c r="V34" s="90">
        <v>1</v>
      </c>
      <c r="W34" s="91">
        <v>0.89694399005601633</v>
      </c>
      <c r="X34" s="89">
        <v>790</v>
      </c>
      <c r="Y34" s="90">
        <v>0.35</v>
      </c>
      <c r="Z34" s="91">
        <v>0.89694399005601633</v>
      </c>
      <c r="AA34" s="89">
        <v>280</v>
      </c>
      <c r="AB34" s="90">
        <v>1</v>
      </c>
      <c r="AC34" s="91">
        <v>0.89694399005601633</v>
      </c>
      <c r="AD34" s="89">
        <v>790</v>
      </c>
      <c r="AE34" s="66">
        <v>0.97</v>
      </c>
      <c r="AF34" s="91">
        <f t="shared" si="3"/>
        <v>0.7421203669467662</v>
      </c>
      <c r="AG34" s="234">
        <f t="shared" si="4"/>
        <v>690</v>
      </c>
    </row>
    <row r="35" spans="1:33">
      <c r="A35" s="60">
        <f t="shared" si="5"/>
        <v>28</v>
      </c>
      <c r="B35" s="69">
        <v>4837</v>
      </c>
      <c r="C35" s="70" t="s">
        <v>63</v>
      </c>
      <c r="D35" s="70" t="s">
        <v>33</v>
      </c>
      <c r="E35" s="70" t="s">
        <v>312</v>
      </c>
      <c r="F35" s="83" t="s">
        <v>369</v>
      </c>
      <c r="G35" s="70"/>
      <c r="H35" s="70"/>
      <c r="I35" s="62" t="s">
        <v>360</v>
      </c>
      <c r="J35" s="71">
        <v>5</v>
      </c>
      <c r="K35" s="71">
        <v>5</v>
      </c>
      <c r="L35" s="71">
        <v>5</v>
      </c>
      <c r="M35" s="71">
        <v>4</v>
      </c>
      <c r="N35" s="71">
        <v>5</v>
      </c>
      <c r="O35" s="71">
        <v>5</v>
      </c>
      <c r="P35" s="71">
        <v>5</v>
      </c>
      <c r="Q35" s="71">
        <v>4</v>
      </c>
      <c r="R35" s="63">
        <f t="shared" si="0"/>
        <v>4.8500000000000005</v>
      </c>
      <c r="S35" s="64">
        <f t="shared" si="1"/>
        <v>0.97</v>
      </c>
      <c r="T35" s="65" t="str">
        <f t="shared" si="2"/>
        <v>Grade-A</v>
      </c>
      <c r="U35" s="66">
        <f>IFERROR(VLOOKUP(F35,[3]Database!F:G,2,0),0)</f>
        <v>1000</v>
      </c>
      <c r="V35" s="90">
        <v>0.28999999999999998</v>
      </c>
      <c r="W35" s="91">
        <v>0.89694399005601633</v>
      </c>
      <c r="X35" s="89">
        <v>250</v>
      </c>
      <c r="Y35" s="90">
        <v>0</v>
      </c>
      <c r="Z35" s="91">
        <v>0.89694399005601633</v>
      </c>
      <c r="AA35" s="89">
        <v>0</v>
      </c>
      <c r="AB35" s="90">
        <v>0.94</v>
      </c>
      <c r="AC35" s="91">
        <v>0.89694399005601633</v>
      </c>
      <c r="AD35" s="89">
        <v>810</v>
      </c>
      <c r="AE35" s="66">
        <v>1</v>
      </c>
      <c r="AF35" s="91">
        <f t="shared" si="3"/>
        <v>0.7421203669467662</v>
      </c>
      <c r="AG35" s="234">
        <f t="shared" si="4"/>
        <v>720</v>
      </c>
    </row>
    <row r="36" spans="1:33" s="92" customFormat="1">
      <c r="A36" s="60">
        <f t="shared" si="5"/>
        <v>29</v>
      </c>
      <c r="B36" s="69">
        <v>17864</v>
      </c>
      <c r="C36" s="70" t="s">
        <v>64</v>
      </c>
      <c r="D36" s="70" t="s">
        <v>32</v>
      </c>
      <c r="E36" s="70" t="s">
        <v>33</v>
      </c>
      <c r="F36" s="83" t="s">
        <v>368</v>
      </c>
      <c r="G36" s="70"/>
      <c r="H36" s="70"/>
      <c r="I36" s="70" t="s">
        <v>360</v>
      </c>
      <c r="J36" s="71">
        <v>5</v>
      </c>
      <c r="K36" s="71">
        <v>4</v>
      </c>
      <c r="L36" s="71">
        <v>4</v>
      </c>
      <c r="M36" s="71">
        <v>4</v>
      </c>
      <c r="N36" s="71">
        <v>4</v>
      </c>
      <c r="O36" s="71">
        <v>5</v>
      </c>
      <c r="P36" s="71">
        <v>5</v>
      </c>
      <c r="Q36" s="71">
        <v>5</v>
      </c>
      <c r="R36" s="63">
        <f t="shared" si="0"/>
        <v>4.5</v>
      </c>
      <c r="S36" s="64">
        <f t="shared" si="1"/>
        <v>0.89999999999999991</v>
      </c>
      <c r="T36" s="65" t="str">
        <f t="shared" si="2"/>
        <v>Grade-A</v>
      </c>
      <c r="U36" s="66">
        <f>IFERROR(VLOOKUP(F36,[3]Database!F:G,2,0),0)</f>
        <v>850</v>
      </c>
      <c r="V36" s="90">
        <v>0.43</v>
      </c>
      <c r="W36" s="91">
        <v>0.89694399005601633</v>
      </c>
      <c r="X36" s="89">
        <v>290</v>
      </c>
      <c r="Y36" s="90">
        <v>1</v>
      </c>
      <c r="Z36" s="91">
        <v>0.89694399005601633</v>
      </c>
      <c r="AA36" s="89">
        <v>660</v>
      </c>
      <c r="AB36" s="90">
        <v>0.97</v>
      </c>
      <c r="AC36" s="91">
        <v>0.89694399005601633</v>
      </c>
      <c r="AD36" s="89">
        <v>640</v>
      </c>
      <c r="AE36" s="66">
        <v>0.97</v>
      </c>
      <c r="AF36" s="91">
        <f t="shared" si="3"/>
        <v>0.7421203669467662</v>
      </c>
      <c r="AG36" s="234">
        <f t="shared" si="4"/>
        <v>560</v>
      </c>
    </row>
    <row r="37" spans="1:33">
      <c r="A37" s="60">
        <f t="shared" si="5"/>
        <v>30</v>
      </c>
      <c r="B37" s="61">
        <v>17786</v>
      </c>
      <c r="C37" s="62" t="s">
        <v>453</v>
      </c>
      <c r="D37" s="62" t="s">
        <v>43</v>
      </c>
      <c r="E37" s="62" t="s">
        <v>33</v>
      </c>
      <c r="F37" s="36" t="s">
        <v>368</v>
      </c>
      <c r="G37" s="62"/>
      <c r="H37" s="62"/>
      <c r="I37" s="62" t="s">
        <v>360</v>
      </c>
      <c r="J37" s="77">
        <v>5</v>
      </c>
      <c r="K37" s="77">
        <v>5</v>
      </c>
      <c r="L37" s="77">
        <v>2</v>
      </c>
      <c r="M37" s="77">
        <v>4</v>
      </c>
      <c r="N37" s="77">
        <v>4</v>
      </c>
      <c r="O37" s="77">
        <v>5</v>
      </c>
      <c r="P37" s="77">
        <v>5</v>
      </c>
      <c r="Q37" s="77">
        <v>5</v>
      </c>
      <c r="R37" s="63">
        <f t="shared" si="0"/>
        <v>4.5</v>
      </c>
      <c r="S37" s="64">
        <f t="shared" si="1"/>
        <v>0.9</v>
      </c>
      <c r="T37" s="65" t="str">
        <f t="shared" si="2"/>
        <v>Grade-A</v>
      </c>
      <c r="U37" s="66">
        <f>IFERROR(VLOOKUP(F37,[3]Database!F:G,2,0),0)</f>
        <v>850</v>
      </c>
      <c r="V37" s="66">
        <v>1</v>
      </c>
      <c r="W37" s="84">
        <v>0.89694399005601633</v>
      </c>
      <c r="X37" s="87">
        <v>690</v>
      </c>
      <c r="Y37" s="66">
        <v>1</v>
      </c>
      <c r="Z37" s="84">
        <v>0.89694399005601633</v>
      </c>
      <c r="AA37" s="87">
        <v>690</v>
      </c>
      <c r="AB37" s="66">
        <v>1</v>
      </c>
      <c r="AC37" s="84">
        <v>0.89694399005601633</v>
      </c>
      <c r="AD37" s="87">
        <v>690</v>
      </c>
      <c r="AE37" s="66">
        <v>1</v>
      </c>
      <c r="AF37" s="84">
        <f t="shared" si="3"/>
        <v>0.7421203669467662</v>
      </c>
      <c r="AG37" s="235">
        <f t="shared" si="4"/>
        <v>570</v>
      </c>
    </row>
    <row r="38" spans="1:33">
      <c r="A38" s="60">
        <f t="shared" si="5"/>
        <v>31</v>
      </c>
      <c r="B38" s="135">
        <v>24134</v>
      </c>
      <c r="C38" s="136" t="s">
        <v>454</v>
      </c>
      <c r="D38" s="136" t="s">
        <v>65</v>
      </c>
      <c r="E38" s="136" t="s">
        <v>32</v>
      </c>
      <c r="F38" s="137" t="s">
        <v>665</v>
      </c>
      <c r="G38" s="136"/>
      <c r="H38" s="136"/>
      <c r="I38" s="136" t="s">
        <v>745</v>
      </c>
      <c r="J38" s="186">
        <v>5</v>
      </c>
      <c r="K38" s="186">
        <v>5</v>
      </c>
      <c r="L38" s="186">
        <v>5</v>
      </c>
      <c r="M38" s="186">
        <v>4</v>
      </c>
      <c r="N38" s="186">
        <v>2</v>
      </c>
      <c r="O38" s="186">
        <v>4</v>
      </c>
      <c r="P38" s="186">
        <v>4</v>
      </c>
      <c r="Q38" s="186">
        <v>2</v>
      </c>
      <c r="R38" s="253">
        <f t="shared" si="0"/>
        <v>4.3</v>
      </c>
      <c r="S38" s="254">
        <f t="shared" si="1"/>
        <v>0.86</v>
      </c>
      <c r="T38" s="255" t="str">
        <f t="shared" si="2"/>
        <v>Grade-B</v>
      </c>
      <c r="U38" s="138">
        <f>IFERROR(VLOOKUP(F38,[3]Database!F:G,2,0),0)</f>
        <v>700</v>
      </c>
      <c r="V38" s="138">
        <v>1</v>
      </c>
      <c r="W38" s="139">
        <v>0.89694399005601633</v>
      </c>
      <c r="X38" s="187">
        <v>540</v>
      </c>
      <c r="Y38" s="138">
        <v>1</v>
      </c>
      <c r="Z38" s="139">
        <v>0.89694399005601633</v>
      </c>
      <c r="AA38" s="187">
        <v>540</v>
      </c>
      <c r="AB38" s="138">
        <v>1</v>
      </c>
      <c r="AC38" s="139">
        <v>0.89694399005601633</v>
      </c>
      <c r="AD38" s="187">
        <v>540</v>
      </c>
      <c r="AE38" s="138">
        <v>0</v>
      </c>
      <c r="AF38" s="139">
        <f t="shared" si="3"/>
        <v>0.7421203669467662</v>
      </c>
      <c r="AG38" s="236">
        <f t="shared" si="4"/>
        <v>0</v>
      </c>
    </row>
    <row r="39" spans="1:33">
      <c r="A39" s="60">
        <f t="shared" si="5"/>
        <v>32</v>
      </c>
      <c r="B39" s="61">
        <v>1775</v>
      </c>
      <c r="C39" s="62" t="s">
        <v>66</v>
      </c>
      <c r="D39" s="62" t="s">
        <v>43</v>
      </c>
      <c r="E39" s="62" t="s">
        <v>43</v>
      </c>
      <c r="F39" s="36" t="s">
        <v>371</v>
      </c>
      <c r="G39" s="62"/>
      <c r="H39" s="62"/>
      <c r="I39" s="62" t="s">
        <v>360</v>
      </c>
      <c r="J39" s="77">
        <v>5</v>
      </c>
      <c r="K39" s="77">
        <v>4</v>
      </c>
      <c r="L39" s="77">
        <v>5</v>
      </c>
      <c r="M39" s="77">
        <v>5</v>
      </c>
      <c r="N39" s="77">
        <v>5</v>
      </c>
      <c r="O39" s="77">
        <v>5</v>
      </c>
      <c r="P39" s="77">
        <v>5</v>
      </c>
      <c r="Q39" s="77">
        <v>5</v>
      </c>
      <c r="R39" s="63">
        <f t="shared" si="0"/>
        <v>4.8</v>
      </c>
      <c r="S39" s="64">
        <f t="shared" si="1"/>
        <v>0.96</v>
      </c>
      <c r="T39" s="65" t="str">
        <f t="shared" si="2"/>
        <v>Grade-A</v>
      </c>
      <c r="U39" s="66">
        <f>IFERROR(VLOOKUP(F39,[3]Database!F:G,2,0),0)</f>
        <v>800</v>
      </c>
      <c r="V39" s="66">
        <v>1</v>
      </c>
      <c r="W39" s="84">
        <v>0.89694399005601633</v>
      </c>
      <c r="X39" s="89">
        <v>680</v>
      </c>
      <c r="Y39" s="66">
        <v>1</v>
      </c>
      <c r="Z39" s="84">
        <v>0.89694399005601633</v>
      </c>
      <c r="AA39" s="89">
        <v>680</v>
      </c>
      <c r="AB39" s="66">
        <v>1</v>
      </c>
      <c r="AC39" s="84">
        <v>0.89694399005601633</v>
      </c>
      <c r="AD39" s="89">
        <v>680</v>
      </c>
      <c r="AE39" s="66">
        <v>1</v>
      </c>
      <c r="AF39" s="84">
        <f t="shared" si="3"/>
        <v>0.7421203669467662</v>
      </c>
      <c r="AG39" s="234">
        <f t="shared" si="4"/>
        <v>570</v>
      </c>
    </row>
    <row r="40" spans="1:33" s="8" customFormat="1">
      <c r="A40" s="60">
        <f t="shared" si="5"/>
        <v>33</v>
      </c>
      <c r="B40" s="61">
        <v>160</v>
      </c>
      <c r="C40" s="62" t="s">
        <v>67</v>
      </c>
      <c r="D40" s="62" t="s">
        <v>43</v>
      </c>
      <c r="E40" s="62" t="s">
        <v>43</v>
      </c>
      <c r="F40" s="36" t="s">
        <v>371</v>
      </c>
      <c r="G40" s="62"/>
      <c r="H40" s="62"/>
      <c r="I40" s="62" t="s">
        <v>360</v>
      </c>
      <c r="J40" s="77">
        <v>5</v>
      </c>
      <c r="K40" s="77">
        <v>5</v>
      </c>
      <c r="L40" s="77">
        <v>4</v>
      </c>
      <c r="M40" s="77">
        <v>4</v>
      </c>
      <c r="N40" s="77">
        <v>5</v>
      </c>
      <c r="O40" s="77">
        <v>5</v>
      </c>
      <c r="P40" s="77">
        <v>5</v>
      </c>
      <c r="Q40" s="77">
        <v>5</v>
      </c>
      <c r="R40" s="63">
        <f t="shared" si="0"/>
        <v>4.8</v>
      </c>
      <c r="S40" s="64">
        <f t="shared" si="1"/>
        <v>0.96</v>
      </c>
      <c r="T40" s="65" t="str">
        <f t="shared" si="2"/>
        <v>Grade-A</v>
      </c>
      <c r="U40" s="66">
        <f>IFERROR(VLOOKUP(F40,[3]Database!F:G,2,0),0)</f>
        <v>800</v>
      </c>
      <c r="V40" s="66">
        <v>1</v>
      </c>
      <c r="W40" s="84">
        <v>0.89694399005601633</v>
      </c>
      <c r="X40" s="89">
        <v>680</v>
      </c>
      <c r="Y40" s="66">
        <v>1</v>
      </c>
      <c r="Z40" s="84">
        <v>0.89694399005601633</v>
      </c>
      <c r="AA40" s="89">
        <v>680</v>
      </c>
      <c r="AB40" s="66">
        <v>1</v>
      </c>
      <c r="AC40" s="84">
        <v>0.89694399005601633</v>
      </c>
      <c r="AD40" s="89">
        <v>680</v>
      </c>
      <c r="AE40" s="66">
        <v>1</v>
      </c>
      <c r="AF40" s="84">
        <f t="shared" si="3"/>
        <v>0.7421203669467662</v>
      </c>
      <c r="AG40" s="234">
        <f t="shared" si="4"/>
        <v>570</v>
      </c>
    </row>
    <row r="41" spans="1:33">
      <c r="A41" s="60">
        <f t="shared" si="5"/>
        <v>34</v>
      </c>
      <c r="B41" s="61">
        <v>202</v>
      </c>
      <c r="C41" s="62" t="s">
        <v>68</v>
      </c>
      <c r="D41" s="62" t="s">
        <v>43</v>
      </c>
      <c r="E41" s="62" t="s">
        <v>43</v>
      </c>
      <c r="F41" s="36" t="s">
        <v>371</v>
      </c>
      <c r="G41" s="62"/>
      <c r="H41" s="62"/>
      <c r="I41" s="62" t="s">
        <v>360</v>
      </c>
      <c r="J41" s="77">
        <v>5</v>
      </c>
      <c r="K41" s="77">
        <v>4</v>
      </c>
      <c r="L41" s="77">
        <v>5</v>
      </c>
      <c r="M41" s="77">
        <v>5</v>
      </c>
      <c r="N41" s="77">
        <v>5</v>
      </c>
      <c r="O41" s="77">
        <v>5</v>
      </c>
      <c r="P41" s="77">
        <v>5</v>
      </c>
      <c r="Q41" s="77">
        <v>5</v>
      </c>
      <c r="R41" s="63">
        <f t="shared" si="0"/>
        <v>4.8</v>
      </c>
      <c r="S41" s="64">
        <f t="shared" si="1"/>
        <v>0.96</v>
      </c>
      <c r="T41" s="65" t="str">
        <f t="shared" si="2"/>
        <v>Grade-A</v>
      </c>
      <c r="U41" s="66">
        <f>IFERROR(VLOOKUP(F41,[3]Database!F:G,2,0),0)</f>
        <v>800</v>
      </c>
      <c r="V41" s="66">
        <v>1</v>
      </c>
      <c r="W41" s="84">
        <v>0.89694399005601633</v>
      </c>
      <c r="X41" s="89">
        <v>680</v>
      </c>
      <c r="Y41" s="66">
        <v>1</v>
      </c>
      <c r="Z41" s="84">
        <v>0.89694399005601633</v>
      </c>
      <c r="AA41" s="89">
        <v>680</v>
      </c>
      <c r="AB41" s="66">
        <v>1</v>
      </c>
      <c r="AC41" s="84">
        <v>0.89694399005601633</v>
      </c>
      <c r="AD41" s="89">
        <v>680</v>
      </c>
      <c r="AE41" s="66">
        <v>1</v>
      </c>
      <c r="AF41" s="84">
        <f t="shared" si="3"/>
        <v>0.7421203669467662</v>
      </c>
      <c r="AG41" s="234">
        <f t="shared" si="4"/>
        <v>570</v>
      </c>
    </row>
    <row r="42" spans="1:33">
      <c r="A42" s="60">
        <f t="shared" si="5"/>
        <v>35</v>
      </c>
      <c r="B42" s="271">
        <v>1769</v>
      </c>
      <c r="C42" s="272" t="s">
        <v>69</v>
      </c>
      <c r="D42" s="272" t="s">
        <v>43</v>
      </c>
      <c r="E42" s="272" t="s">
        <v>43</v>
      </c>
      <c r="F42" s="273" t="s">
        <v>371</v>
      </c>
      <c r="G42" s="272"/>
      <c r="H42" s="272"/>
      <c r="I42" s="272" t="s">
        <v>759</v>
      </c>
      <c r="J42" s="274">
        <v>5</v>
      </c>
      <c r="K42" s="274">
        <v>4</v>
      </c>
      <c r="L42" s="274">
        <v>5</v>
      </c>
      <c r="M42" s="274">
        <v>5</v>
      </c>
      <c r="N42" s="274">
        <v>5</v>
      </c>
      <c r="O42" s="274">
        <v>5</v>
      </c>
      <c r="P42" s="274">
        <v>5</v>
      </c>
      <c r="Q42" s="274">
        <v>5</v>
      </c>
      <c r="R42" s="275">
        <f t="shared" si="0"/>
        <v>4.8</v>
      </c>
      <c r="S42" s="276">
        <f t="shared" si="1"/>
        <v>0.96</v>
      </c>
      <c r="T42" s="277" t="str">
        <f t="shared" si="2"/>
        <v>Grade-A</v>
      </c>
      <c r="U42" s="278">
        <f>IFERROR(VLOOKUP(F42,[3]Database!F:G,2,0),0)</f>
        <v>800</v>
      </c>
      <c r="V42" s="278">
        <v>1</v>
      </c>
      <c r="W42" s="300">
        <v>0.89694399005601633</v>
      </c>
      <c r="X42" s="301">
        <v>680</v>
      </c>
      <c r="Y42" s="278">
        <v>1</v>
      </c>
      <c r="Z42" s="300">
        <v>0.89694399005601633</v>
      </c>
      <c r="AA42" s="301">
        <v>680</v>
      </c>
      <c r="AB42" s="278">
        <v>1</v>
      </c>
      <c r="AC42" s="300">
        <v>0.89694399005601633</v>
      </c>
      <c r="AD42" s="301">
        <v>680</v>
      </c>
      <c r="AE42" s="278">
        <v>0</v>
      </c>
      <c r="AF42" s="300">
        <f t="shared" si="3"/>
        <v>0.7421203669467662</v>
      </c>
      <c r="AG42" s="302">
        <f t="shared" si="4"/>
        <v>0</v>
      </c>
    </row>
    <row r="43" spans="1:33" s="8" customFormat="1">
      <c r="A43" s="60">
        <f t="shared" si="5"/>
        <v>36</v>
      </c>
      <c r="B43" s="61">
        <v>3847</v>
      </c>
      <c r="C43" s="62" t="s">
        <v>70</v>
      </c>
      <c r="D43" s="62" t="s">
        <v>43</v>
      </c>
      <c r="E43" s="62" t="s">
        <v>43</v>
      </c>
      <c r="F43" s="36" t="s">
        <v>371</v>
      </c>
      <c r="G43" s="62"/>
      <c r="H43" s="62"/>
      <c r="I43" s="62" t="s">
        <v>765</v>
      </c>
      <c r="J43" s="77">
        <v>5</v>
      </c>
      <c r="K43" s="77">
        <v>4</v>
      </c>
      <c r="L43" s="77">
        <v>5</v>
      </c>
      <c r="M43" s="77">
        <v>5</v>
      </c>
      <c r="N43" s="77">
        <v>5</v>
      </c>
      <c r="O43" s="77">
        <v>5</v>
      </c>
      <c r="P43" s="77">
        <v>5</v>
      </c>
      <c r="Q43" s="77">
        <v>5</v>
      </c>
      <c r="R43" s="63">
        <f t="shared" si="0"/>
        <v>4.8</v>
      </c>
      <c r="S43" s="64">
        <f t="shared" si="1"/>
        <v>0.96</v>
      </c>
      <c r="T43" s="65" t="str">
        <f t="shared" si="2"/>
        <v>Grade-A</v>
      </c>
      <c r="U43" s="66">
        <f>IFERROR(VLOOKUP(F43,[3]Database!F:G,2,0),0)</f>
        <v>800</v>
      </c>
      <c r="V43" s="66">
        <v>1</v>
      </c>
      <c r="W43" s="84">
        <v>0.89694399005601633</v>
      </c>
      <c r="X43" s="87">
        <v>680</v>
      </c>
      <c r="Y43" s="66">
        <v>1</v>
      </c>
      <c r="Z43" s="84">
        <v>0.89694399005601633</v>
      </c>
      <c r="AA43" s="87">
        <v>680</v>
      </c>
      <c r="AB43" s="66">
        <v>1</v>
      </c>
      <c r="AC43" s="84">
        <v>0.89694399005601633</v>
      </c>
      <c r="AD43" s="87">
        <v>680</v>
      </c>
      <c r="AE43" s="66">
        <v>0.13</v>
      </c>
      <c r="AF43" s="84">
        <f t="shared" si="3"/>
        <v>0.7421203669467662</v>
      </c>
      <c r="AG43" s="235">
        <f t="shared" si="4"/>
        <v>80</v>
      </c>
    </row>
    <row r="44" spans="1:33">
      <c r="A44" s="60">
        <f t="shared" si="5"/>
        <v>37</v>
      </c>
      <c r="B44" s="61">
        <v>3870</v>
      </c>
      <c r="C44" s="62" t="s">
        <v>71</v>
      </c>
      <c r="D44" s="62" t="s">
        <v>43</v>
      </c>
      <c r="E44" s="62" t="s">
        <v>43</v>
      </c>
      <c r="F44" s="36" t="s">
        <v>371</v>
      </c>
      <c r="G44" s="62"/>
      <c r="H44" s="62"/>
      <c r="I44" s="62" t="s">
        <v>360</v>
      </c>
      <c r="J44" s="77">
        <v>5</v>
      </c>
      <c r="K44" s="77">
        <v>4</v>
      </c>
      <c r="L44" s="77">
        <v>5</v>
      </c>
      <c r="M44" s="77">
        <v>5</v>
      </c>
      <c r="N44" s="77">
        <v>5</v>
      </c>
      <c r="O44" s="77">
        <v>5</v>
      </c>
      <c r="P44" s="77">
        <v>5</v>
      </c>
      <c r="Q44" s="77">
        <v>5</v>
      </c>
      <c r="R44" s="63">
        <f t="shared" si="0"/>
        <v>4.8</v>
      </c>
      <c r="S44" s="64">
        <f t="shared" si="1"/>
        <v>0.96</v>
      </c>
      <c r="T44" s="65" t="str">
        <f t="shared" si="2"/>
        <v>Grade-A</v>
      </c>
      <c r="U44" s="66">
        <f>IFERROR(VLOOKUP(F44,[3]Database!F:G,2,0),0)</f>
        <v>800</v>
      </c>
      <c r="V44" s="66">
        <v>1</v>
      </c>
      <c r="W44" s="84">
        <v>0.89694399005601633</v>
      </c>
      <c r="X44" s="89">
        <v>680</v>
      </c>
      <c r="Y44" s="66">
        <v>1</v>
      </c>
      <c r="Z44" s="84">
        <v>0.89694399005601633</v>
      </c>
      <c r="AA44" s="89">
        <v>680</v>
      </c>
      <c r="AB44" s="66">
        <v>1</v>
      </c>
      <c r="AC44" s="84">
        <v>0.89694399005601633</v>
      </c>
      <c r="AD44" s="89">
        <v>680</v>
      </c>
      <c r="AE44" s="66">
        <v>1</v>
      </c>
      <c r="AF44" s="84">
        <f t="shared" si="3"/>
        <v>0.7421203669467662</v>
      </c>
      <c r="AG44" s="234">
        <f t="shared" si="4"/>
        <v>570</v>
      </c>
    </row>
    <row r="45" spans="1:33" s="8" customFormat="1">
      <c r="A45" s="60">
        <f t="shared" si="5"/>
        <v>38</v>
      </c>
      <c r="B45" s="61">
        <v>4189</v>
      </c>
      <c r="C45" s="62" t="s">
        <v>455</v>
      </c>
      <c r="D45" s="62" t="s">
        <v>43</v>
      </c>
      <c r="E45" s="62" t="s">
        <v>43</v>
      </c>
      <c r="F45" s="36" t="s">
        <v>371</v>
      </c>
      <c r="G45" s="62"/>
      <c r="H45" s="62"/>
      <c r="I45" s="62" t="s">
        <v>360</v>
      </c>
      <c r="J45" s="77">
        <v>5</v>
      </c>
      <c r="K45" s="77">
        <v>4</v>
      </c>
      <c r="L45" s="77">
        <v>5</v>
      </c>
      <c r="M45" s="77">
        <v>4</v>
      </c>
      <c r="N45" s="77">
        <v>5</v>
      </c>
      <c r="O45" s="77">
        <v>5</v>
      </c>
      <c r="P45" s="77">
        <v>5</v>
      </c>
      <c r="Q45" s="77">
        <v>5</v>
      </c>
      <c r="R45" s="63">
        <f t="shared" si="0"/>
        <v>4.6999999999999993</v>
      </c>
      <c r="S45" s="64">
        <f t="shared" si="1"/>
        <v>0.94</v>
      </c>
      <c r="T45" s="65" t="str">
        <f t="shared" si="2"/>
        <v>Grade-A</v>
      </c>
      <c r="U45" s="66">
        <f>IFERROR(VLOOKUP(F45,[3]Database!F:G,2,0),0)</f>
        <v>800</v>
      </c>
      <c r="V45" s="66">
        <v>1</v>
      </c>
      <c r="W45" s="84">
        <v>0.89694399005601633</v>
      </c>
      <c r="X45" s="87">
        <v>680</v>
      </c>
      <c r="Y45" s="66">
        <v>1</v>
      </c>
      <c r="Z45" s="84">
        <v>0.89694399005601633</v>
      </c>
      <c r="AA45" s="87">
        <v>680</v>
      </c>
      <c r="AB45" s="66">
        <v>1</v>
      </c>
      <c r="AC45" s="84">
        <v>0.89694399005601633</v>
      </c>
      <c r="AD45" s="87">
        <v>680</v>
      </c>
      <c r="AE45" s="66">
        <v>1</v>
      </c>
      <c r="AF45" s="84">
        <f t="shared" si="3"/>
        <v>0.7421203669467662</v>
      </c>
      <c r="AG45" s="235">
        <f t="shared" si="4"/>
        <v>560</v>
      </c>
    </row>
    <row r="46" spans="1:33" s="8" customFormat="1">
      <c r="A46" s="60">
        <f t="shared" si="5"/>
        <v>39</v>
      </c>
      <c r="B46" s="61">
        <v>4716</v>
      </c>
      <c r="C46" s="62" t="s">
        <v>72</v>
      </c>
      <c r="D46" s="62" t="s">
        <v>43</v>
      </c>
      <c r="E46" s="62" t="s">
        <v>43</v>
      </c>
      <c r="F46" s="36" t="s">
        <v>371</v>
      </c>
      <c r="G46" s="62"/>
      <c r="H46" s="62"/>
      <c r="I46" s="62" t="s">
        <v>360</v>
      </c>
      <c r="J46" s="77">
        <v>5</v>
      </c>
      <c r="K46" s="77">
        <v>5</v>
      </c>
      <c r="L46" s="77">
        <v>5</v>
      </c>
      <c r="M46" s="77">
        <v>4</v>
      </c>
      <c r="N46" s="77">
        <v>5</v>
      </c>
      <c r="O46" s="77">
        <v>4</v>
      </c>
      <c r="P46" s="77">
        <v>5</v>
      </c>
      <c r="Q46" s="77">
        <v>5</v>
      </c>
      <c r="R46" s="63">
        <f t="shared" si="0"/>
        <v>4.8</v>
      </c>
      <c r="S46" s="64">
        <f t="shared" si="1"/>
        <v>0.96</v>
      </c>
      <c r="T46" s="65" t="str">
        <f t="shared" si="2"/>
        <v>Grade-A</v>
      </c>
      <c r="U46" s="66">
        <f>IFERROR(VLOOKUP(F46,[3]Database!F:G,2,0),0)</f>
        <v>800</v>
      </c>
      <c r="V46" s="66">
        <v>1</v>
      </c>
      <c r="W46" s="84">
        <v>0.89694399005601633</v>
      </c>
      <c r="X46" s="87">
        <v>690</v>
      </c>
      <c r="Y46" s="66">
        <v>1</v>
      </c>
      <c r="Z46" s="84">
        <v>0.89694399005601633</v>
      </c>
      <c r="AA46" s="87">
        <v>690</v>
      </c>
      <c r="AB46" s="66">
        <v>1</v>
      </c>
      <c r="AC46" s="84">
        <v>0.89694399005601633</v>
      </c>
      <c r="AD46" s="87">
        <v>690</v>
      </c>
      <c r="AE46" s="66">
        <v>1</v>
      </c>
      <c r="AF46" s="84">
        <f t="shared" si="3"/>
        <v>0.7421203669467662</v>
      </c>
      <c r="AG46" s="235">
        <f t="shared" si="4"/>
        <v>570</v>
      </c>
    </row>
    <row r="47" spans="1:33" s="8" customFormat="1">
      <c r="A47" s="60">
        <f t="shared" si="5"/>
        <v>40</v>
      </c>
      <c r="B47" s="61">
        <v>4748</v>
      </c>
      <c r="C47" s="62" t="s">
        <v>73</v>
      </c>
      <c r="D47" s="62" t="s">
        <v>43</v>
      </c>
      <c r="E47" s="62" t="s">
        <v>43</v>
      </c>
      <c r="F47" s="36" t="s">
        <v>371</v>
      </c>
      <c r="G47" s="62"/>
      <c r="H47" s="62"/>
      <c r="I47" s="62" t="s">
        <v>360</v>
      </c>
      <c r="J47" s="77">
        <v>5</v>
      </c>
      <c r="K47" s="77">
        <v>5</v>
      </c>
      <c r="L47" s="77">
        <v>5</v>
      </c>
      <c r="M47" s="77">
        <v>4</v>
      </c>
      <c r="N47" s="77">
        <v>5</v>
      </c>
      <c r="O47" s="77">
        <v>4</v>
      </c>
      <c r="P47" s="77">
        <v>3</v>
      </c>
      <c r="Q47" s="77">
        <v>3</v>
      </c>
      <c r="R47" s="63">
        <f t="shared" si="0"/>
        <v>4.6000000000000005</v>
      </c>
      <c r="S47" s="64">
        <f t="shared" si="1"/>
        <v>0.91999999999999993</v>
      </c>
      <c r="T47" s="65" t="str">
        <f t="shared" si="2"/>
        <v>Grade-A</v>
      </c>
      <c r="U47" s="66">
        <f>IFERROR(VLOOKUP(F47,[3]Database!F:G,2,0),0)</f>
        <v>800</v>
      </c>
      <c r="V47" s="66">
        <v>1</v>
      </c>
      <c r="W47" s="84">
        <v>0.89694399005601633</v>
      </c>
      <c r="X47" s="87">
        <v>640</v>
      </c>
      <c r="Y47" s="66">
        <v>1</v>
      </c>
      <c r="Z47" s="84">
        <v>0.89694399005601633</v>
      </c>
      <c r="AA47" s="87">
        <v>640</v>
      </c>
      <c r="AB47" s="66">
        <v>1</v>
      </c>
      <c r="AC47" s="84">
        <v>0.89694399005601633</v>
      </c>
      <c r="AD47" s="87">
        <v>640</v>
      </c>
      <c r="AE47" s="66">
        <v>1</v>
      </c>
      <c r="AF47" s="84">
        <f t="shared" si="3"/>
        <v>0.7421203669467662</v>
      </c>
      <c r="AG47" s="235">
        <f t="shared" si="4"/>
        <v>550</v>
      </c>
    </row>
    <row r="48" spans="1:33">
      <c r="A48" s="60">
        <f t="shared" si="5"/>
        <v>41</v>
      </c>
      <c r="B48" s="69">
        <v>7077</v>
      </c>
      <c r="C48" s="70" t="s">
        <v>74</v>
      </c>
      <c r="D48" s="70" t="s">
        <v>43</v>
      </c>
      <c r="E48" s="70" t="s">
        <v>43</v>
      </c>
      <c r="F48" s="83" t="s">
        <v>371</v>
      </c>
      <c r="G48" s="70"/>
      <c r="H48" s="70"/>
      <c r="I48" s="62" t="s">
        <v>360</v>
      </c>
      <c r="J48" s="77">
        <v>5</v>
      </c>
      <c r="K48" s="77">
        <v>5</v>
      </c>
      <c r="L48" s="77">
        <v>2</v>
      </c>
      <c r="M48" s="77">
        <v>5</v>
      </c>
      <c r="N48" s="77">
        <v>5</v>
      </c>
      <c r="O48" s="77">
        <v>5</v>
      </c>
      <c r="P48" s="77">
        <v>5</v>
      </c>
      <c r="Q48" s="77">
        <v>5</v>
      </c>
      <c r="R48" s="63">
        <f t="shared" si="0"/>
        <v>4.7</v>
      </c>
      <c r="S48" s="64">
        <f t="shared" si="1"/>
        <v>0.94000000000000006</v>
      </c>
      <c r="T48" s="65" t="str">
        <f t="shared" si="2"/>
        <v>Grade-A</v>
      </c>
      <c r="U48" s="66">
        <f>IFERROR(VLOOKUP(F48,[3]Database!F:G,2,0),0)</f>
        <v>800</v>
      </c>
      <c r="V48" s="66">
        <v>1</v>
      </c>
      <c r="W48" s="91">
        <v>0.89694399005601633</v>
      </c>
      <c r="X48" s="89">
        <v>680</v>
      </c>
      <c r="Y48" s="66">
        <v>1</v>
      </c>
      <c r="Z48" s="91">
        <v>0.89694399005601633</v>
      </c>
      <c r="AA48" s="89">
        <v>680</v>
      </c>
      <c r="AB48" s="66">
        <v>1</v>
      </c>
      <c r="AC48" s="91">
        <v>0.89694399005601633</v>
      </c>
      <c r="AD48" s="89">
        <v>680</v>
      </c>
      <c r="AE48" s="66">
        <v>1</v>
      </c>
      <c r="AF48" s="91">
        <f t="shared" si="3"/>
        <v>0.7421203669467662</v>
      </c>
      <c r="AG48" s="234">
        <f t="shared" si="4"/>
        <v>560</v>
      </c>
    </row>
    <row r="49" spans="1:33" s="8" customFormat="1">
      <c r="A49" s="60">
        <f t="shared" si="5"/>
        <v>42</v>
      </c>
      <c r="B49" s="61">
        <v>7079</v>
      </c>
      <c r="C49" s="62" t="s">
        <v>75</v>
      </c>
      <c r="D49" s="62" t="s">
        <v>43</v>
      </c>
      <c r="E49" s="62" t="s">
        <v>43</v>
      </c>
      <c r="F49" s="36" t="s">
        <v>371</v>
      </c>
      <c r="G49" s="62"/>
      <c r="H49" s="62"/>
      <c r="I49" s="62" t="s">
        <v>360</v>
      </c>
      <c r="J49" s="77">
        <v>5</v>
      </c>
      <c r="K49" s="77">
        <v>4</v>
      </c>
      <c r="L49" s="77">
        <v>5</v>
      </c>
      <c r="M49" s="77">
        <v>5</v>
      </c>
      <c r="N49" s="77">
        <v>5</v>
      </c>
      <c r="O49" s="77">
        <v>5</v>
      </c>
      <c r="P49" s="77">
        <v>5</v>
      </c>
      <c r="Q49" s="77">
        <v>5</v>
      </c>
      <c r="R49" s="63">
        <f t="shared" si="0"/>
        <v>4.8</v>
      </c>
      <c r="S49" s="64">
        <f t="shared" si="1"/>
        <v>0.96</v>
      </c>
      <c r="T49" s="65" t="str">
        <f t="shared" si="2"/>
        <v>Grade-A</v>
      </c>
      <c r="U49" s="66">
        <f>IFERROR(VLOOKUP(F49,[3]Database!F:G,2,0),0)</f>
        <v>800</v>
      </c>
      <c r="V49" s="66">
        <v>1</v>
      </c>
      <c r="W49" s="84">
        <v>0.89694399005601633</v>
      </c>
      <c r="X49" s="87">
        <v>680</v>
      </c>
      <c r="Y49" s="66">
        <v>1</v>
      </c>
      <c r="Z49" s="84">
        <v>0.89694399005601633</v>
      </c>
      <c r="AA49" s="87">
        <v>680</v>
      </c>
      <c r="AB49" s="66">
        <v>1</v>
      </c>
      <c r="AC49" s="84">
        <v>0.89694399005601633</v>
      </c>
      <c r="AD49" s="87">
        <v>680</v>
      </c>
      <c r="AE49" s="66">
        <v>1</v>
      </c>
      <c r="AF49" s="84">
        <f t="shared" si="3"/>
        <v>0.7421203669467662</v>
      </c>
      <c r="AG49" s="235">
        <f t="shared" si="4"/>
        <v>570</v>
      </c>
    </row>
    <row r="50" spans="1:33">
      <c r="A50" s="60">
        <f t="shared" si="5"/>
        <v>43</v>
      </c>
      <c r="B50" s="61">
        <v>8184</v>
      </c>
      <c r="C50" s="62" t="s">
        <v>76</v>
      </c>
      <c r="D50" s="62" t="s">
        <v>43</v>
      </c>
      <c r="E50" s="62" t="s">
        <v>43</v>
      </c>
      <c r="F50" s="36" t="s">
        <v>371</v>
      </c>
      <c r="G50" s="62"/>
      <c r="H50" s="62"/>
      <c r="I50" s="62" t="s">
        <v>360</v>
      </c>
      <c r="J50" s="77">
        <v>5</v>
      </c>
      <c r="K50" s="77">
        <v>4</v>
      </c>
      <c r="L50" s="77">
        <v>4</v>
      </c>
      <c r="M50" s="77">
        <v>5</v>
      </c>
      <c r="N50" s="77">
        <v>5</v>
      </c>
      <c r="O50" s="77">
        <v>5</v>
      </c>
      <c r="P50" s="77">
        <v>5</v>
      </c>
      <c r="Q50" s="77">
        <v>3</v>
      </c>
      <c r="R50" s="63">
        <f t="shared" si="0"/>
        <v>4.5999999999999996</v>
      </c>
      <c r="S50" s="64">
        <f t="shared" si="1"/>
        <v>0.91999999999999993</v>
      </c>
      <c r="T50" s="65" t="str">
        <f t="shared" si="2"/>
        <v>Grade-A</v>
      </c>
      <c r="U50" s="66">
        <f>IFERROR(VLOOKUP(F50,[3]Database!F:G,2,0),0)</f>
        <v>800</v>
      </c>
      <c r="V50" s="66">
        <v>1</v>
      </c>
      <c r="W50" s="84">
        <v>0.89694399005601633</v>
      </c>
      <c r="X50" s="87">
        <v>620</v>
      </c>
      <c r="Y50" s="66">
        <v>0.97</v>
      </c>
      <c r="Z50" s="84">
        <v>0.89694399005601633</v>
      </c>
      <c r="AA50" s="87">
        <v>600</v>
      </c>
      <c r="AB50" s="66">
        <v>1</v>
      </c>
      <c r="AC50" s="84">
        <v>0.89694399005601633</v>
      </c>
      <c r="AD50" s="87">
        <v>620</v>
      </c>
      <c r="AE50" s="66">
        <v>1</v>
      </c>
      <c r="AF50" s="84">
        <f t="shared" si="3"/>
        <v>0.7421203669467662</v>
      </c>
      <c r="AG50" s="235">
        <f t="shared" si="4"/>
        <v>550</v>
      </c>
    </row>
    <row r="51" spans="1:33">
      <c r="A51" s="60">
        <f t="shared" si="5"/>
        <v>44</v>
      </c>
      <c r="B51" s="69">
        <v>9179</v>
      </c>
      <c r="C51" s="70" t="s">
        <v>77</v>
      </c>
      <c r="D51" s="70" t="s">
        <v>43</v>
      </c>
      <c r="E51" s="70" t="s">
        <v>43</v>
      </c>
      <c r="F51" s="83" t="s">
        <v>371</v>
      </c>
      <c r="G51" s="70"/>
      <c r="H51" s="70"/>
      <c r="I51" s="62" t="s">
        <v>360</v>
      </c>
      <c r="J51" s="77">
        <v>5</v>
      </c>
      <c r="K51" s="77">
        <v>5</v>
      </c>
      <c r="L51" s="77">
        <v>5</v>
      </c>
      <c r="M51" s="77">
        <v>5</v>
      </c>
      <c r="N51" s="77">
        <v>5</v>
      </c>
      <c r="O51" s="77">
        <v>5</v>
      </c>
      <c r="P51" s="77">
        <v>3</v>
      </c>
      <c r="Q51" s="77">
        <v>3</v>
      </c>
      <c r="R51" s="63">
        <f t="shared" si="0"/>
        <v>4.8000000000000007</v>
      </c>
      <c r="S51" s="64">
        <f t="shared" si="1"/>
        <v>0.96</v>
      </c>
      <c r="T51" s="65" t="str">
        <f t="shared" si="2"/>
        <v>Grade-A</v>
      </c>
      <c r="U51" s="66">
        <f>IFERROR(VLOOKUP(F51,[3]Database!F:G,2,0),0)</f>
        <v>800</v>
      </c>
      <c r="V51" s="90">
        <v>0.94</v>
      </c>
      <c r="W51" s="91">
        <v>0.89694399005601633</v>
      </c>
      <c r="X51" s="89">
        <v>670</v>
      </c>
      <c r="Y51" s="90">
        <v>0</v>
      </c>
      <c r="Z51" s="91">
        <v>0.89694399005601633</v>
      </c>
      <c r="AA51" s="89">
        <v>0</v>
      </c>
      <c r="AB51" s="90">
        <v>0</v>
      </c>
      <c r="AC51" s="91">
        <v>0.89694399005601633</v>
      </c>
      <c r="AD51" s="89">
        <v>0</v>
      </c>
      <c r="AE51" s="90">
        <v>1</v>
      </c>
      <c r="AF51" s="91">
        <f t="shared" si="3"/>
        <v>0.7421203669467662</v>
      </c>
      <c r="AG51" s="234">
        <f t="shared" si="4"/>
        <v>570</v>
      </c>
    </row>
    <row r="52" spans="1:33" s="8" customFormat="1">
      <c r="A52" s="60">
        <f t="shared" si="5"/>
        <v>45</v>
      </c>
      <c r="B52" s="61">
        <v>17496</v>
      </c>
      <c r="C52" s="62" t="s">
        <v>78</v>
      </c>
      <c r="D52" s="62" t="s">
        <v>43</v>
      </c>
      <c r="E52" s="62" t="s">
        <v>43</v>
      </c>
      <c r="F52" s="36" t="s">
        <v>371</v>
      </c>
      <c r="G52" s="62"/>
      <c r="H52" s="62"/>
      <c r="I52" s="62" t="s">
        <v>769</v>
      </c>
      <c r="J52" s="77">
        <v>5</v>
      </c>
      <c r="K52" s="77">
        <v>4</v>
      </c>
      <c r="L52" s="77">
        <v>5</v>
      </c>
      <c r="M52" s="77">
        <v>5</v>
      </c>
      <c r="N52" s="77">
        <v>5</v>
      </c>
      <c r="O52" s="77">
        <v>5</v>
      </c>
      <c r="P52" s="77">
        <v>5</v>
      </c>
      <c r="Q52" s="77">
        <v>5</v>
      </c>
      <c r="R52" s="63">
        <f t="shared" si="0"/>
        <v>4.8</v>
      </c>
      <c r="S52" s="64">
        <f t="shared" si="1"/>
        <v>0.96</v>
      </c>
      <c r="T52" s="65" t="str">
        <f t="shared" si="2"/>
        <v>Grade-A</v>
      </c>
      <c r="U52" s="66">
        <f>IFERROR(VLOOKUP(F52,[3]Database!F:G,2,0),0)</f>
        <v>800</v>
      </c>
      <c r="V52" s="66">
        <v>1</v>
      </c>
      <c r="W52" s="84">
        <v>0.89694399005601633</v>
      </c>
      <c r="X52" s="87">
        <v>680</v>
      </c>
      <c r="Y52" s="66">
        <v>1</v>
      </c>
      <c r="Z52" s="84">
        <v>0.89694399005601633</v>
      </c>
      <c r="AA52" s="87">
        <v>680</v>
      </c>
      <c r="AB52" s="66">
        <v>1</v>
      </c>
      <c r="AC52" s="84">
        <v>0.89694399005601633</v>
      </c>
      <c r="AD52" s="87">
        <v>680</v>
      </c>
      <c r="AE52" s="66">
        <v>0.77</v>
      </c>
      <c r="AF52" s="84">
        <f t="shared" si="3"/>
        <v>0.7421203669467662</v>
      </c>
      <c r="AG52" s="235">
        <f t="shared" si="4"/>
        <v>440</v>
      </c>
    </row>
    <row r="53" spans="1:33" s="8" customFormat="1">
      <c r="A53" s="60">
        <f t="shared" si="5"/>
        <v>46</v>
      </c>
      <c r="B53" s="61">
        <v>17497</v>
      </c>
      <c r="C53" s="62" t="s">
        <v>79</v>
      </c>
      <c r="D53" s="62" t="s">
        <v>43</v>
      </c>
      <c r="E53" s="62" t="s">
        <v>43</v>
      </c>
      <c r="F53" s="36" t="s">
        <v>371</v>
      </c>
      <c r="G53" s="62"/>
      <c r="H53" s="62"/>
      <c r="I53" s="62" t="s">
        <v>774</v>
      </c>
      <c r="J53" s="77">
        <v>5</v>
      </c>
      <c r="K53" s="77">
        <v>5</v>
      </c>
      <c r="L53" s="77">
        <v>5</v>
      </c>
      <c r="M53" s="77">
        <v>5</v>
      </c>
      <c r="N53" s="77">
        <v>5</v>
      </c>
      <c r="O53" s="77">
        <v>5</v>
      </c>
      <c r="P53" s="77">
        <v>3</v>
      </c>
      <c r="Q53" s="77">
        <v>3</v>
      </c>
      <c r="R53" s="63">
        <f t="shared" si="0"/>
        <v>4.8000000000000007</v>
      </c>
      <c r="S53" s="64">
        <f t="shared" si="1"/>
        <v>0.96</v>
      </c>
      <c r="T53" s="65" t="str">
        <f t="shared" si="2"/>
        <v>Grade-A</v>
      </c>
      <c r="U53" s="66">
        <f>IFERROR(VLOOKUP(F53,[3]Database!F:G,2,0),0)</f>
        <v>800</v>
      </c>
      <c r="V53" s="66">
        <v>1</v>
      </c>
      <c r="W53" s="84">
        <v>0.89694399005601633</v>
      </c>
      <c r="X53" s="89">
        <v>680</v>
      </c>
      <c r="Y53" s="66">
        <v>1</v>
      </c>
      <c r="Z53" s="84">
        <v>0.89694399005601633</v>
      </c>
      <c r="AA53" s="89">
        <v>680</v>
      </c>
      <c r="AB53" s="66">
        <v>1</v>
      </c>
      <c r="AC53" s="84">
        <v>0.89694399005601633</v>
      </c>
      <c r="AD53" s="89">
        <v>680</v>
      </c>
      <c r="AE53" s="66">
        <v>0.55000000000000004</v>
      </c>
      <c r="AF53" s="84">
        <f t="shared" si="3"/>
        <v>0.7421203669467662</v>
      </c>
      <c r="AG53" s="234">
        <f t="shared" si="4"/>
        <v>320</v>
      </c>
    </row>
    <row r="54" spans="1:33">
      <c r="A54" s="60">
        <f t="shared" si="5"/>
        <v>47</v>
      </c>
      <c r="B54" s="69">
        <v>17875</v>
      </c>
      <c r="C54" s="70" t="s">
        <v>80</v>
      </c>
      <c r="D54" s="70" t="s">
        <v>43</v>
      </c>
      <c r="E54" s="70" t="s">
        <v>43</v>
      </c>
      <c r="F54" s="83" t="s">
        <v>371</v>
      </c>
      <c r="G54" s="70"/>
      <c r="H54" s="70"/>
      <c r="I54" s="62" t="s">
        <v>360</v>
      </c>
      <c r="J54" s="71">
        <v>5</v>
      </c>
      <c r="K54" s="71">
        <v>4</v>
      </c>
      <c r="L54" s="71">
        <v>4</v>
      </c>
      <c r="M54" s="71">
        <v>5</v>
      </c>
      <c r="N54" s="71">
        <v>5</v>
      </c>
      <c r="O54" s="71">
        <v>5</v>
      </c>
      <c r="P54" s="71">
        <v>5</v>
      </c>
      <c r="Q54" s="71">
        <v>5</v>
      </c>
      <c r="R54" s="63">
        <f t="shared" si="0"/>
        <v>4.6999999999999993</v>
      </c>
      <c r="S54" s="64">
        <f t="shared" si="1"/>
        <v>0.94</v>
      </c>
      <c r="T54" s="65" t="str">
        <f t="shared" si="2"/>
        <v>Grade-A</v>
      </c>
      <c r="U54" s="66">
        <f>IFERROR(VLOOKUP(F54,[3]Database!F:G,2,0),0)</f>
        <v>800</v>
      </c>
      <c r="V54" s="90">
        <v>0.42</v>
      </c>
      <c r="W54" s="91">
        <v>0.89694399005601633</v>
      </c>
      <c r="X54" s="89">
        <v>290</v>
      </c>
      <c r="Y54" s="90">
        <v>0</v>
      </c>
      <c r="Z54" s="91">
        <v>0.89694399005601633</v>
      </c>
      <c r="AA54" s="89">
        <v>0</v>
      </c>
      <c r="AB54" s="90">
        <v>0.81</v>
      </c>
      <c r="AC54" s="91">
        <v>0.89694399005601633</v>
      </c>
      <c r="AD54" s="89">
        <v>550</v>
      </c>
      <c r="AE54" s="90">
        <v>1</v>
      </c>
      <c r="AF54" s="91">
        <f t="shared" si="3"/>
        <v>0.7421203669467662</v>
      </c>
      <c r="AG54" s="234">
        <f t="shared" si="4"/>
        <v>560</v>
      </c>
    </row>
    <row r="55" spans="1:33">
      <c r="A55" s="60">
        <f t="shared" si="5"/>
        <v>48</v>
      </c>
      <c r="B55" s="61">
        <v>6635</v>
      </c>
      <c r="C55" s="62" t="s">
        <v>81</v>
      </c>
      <c r="D55" s="62" t="s">
        <v>43</v>
      </c>
      <c r="E55" s="62" t="s">
        <v>43</v>
      </c>
      <c r="F55" s="36" t="s">
        <v>371</v>
      </c>
      <c r="G55" s="62"/>
      <c r="H55" s="62"/>
      <c r="I55" s="62" t="s">
        <v>360</v>
      </c>
      <c r="J55" s="77">
        <v>4</v>
      </c>
      <c r="K55" s="77">
        <v>5</v>
      </c>
      <c r="L55" s="77">
        <v>5</v>
      </c>
      <c r="M55" s="77">
        <v>5</v>
      </c>
      <c r="N55" s="77">
        <v>5</v>
      </c>
      <c r="O55" s="77">
        <v>5</v>
      </c>
      <c r="P55" s="77">
        <v>5</v>
      </c>
      <c r="Q55" s="77">
        <v>5</v>
      </c>
      <c r="R55" s="63">
        <f t="shared" si="0"/>
        <v>4.7</v>
      </c>
      <c r="S55" s="64">
        <f t="shared" si="1"/>
        <v>0.94000000000000006</v>
      </c>
      <c r="T55" s="65" t="str">
        <f t="shared" si="2"/>
        <v>Grade-A</v>
      </c>
      <c r="U55" s="66">
        <f>IFERROR(VLOOKUP(F55,[3]Database!F:G,2,0),0)</f>
        <v>800</v>
      </c>
      <c r="V55" s="66">
        <v>1</v>
      </c>
      <c r="W55" s="84">
        <v>0.89694399005601633</v>
      </c>
      <c r="X55" s="89">
        <v>680</v>
      </c>
      <c r="Y55" s="66">
        <v>1</v>
      </c>
      <c r="Z55" s="84">
        <v>0.89694399005601633</v>
      </c>
      <c r="AA55" s="89">
        <v>680</v>
      </c>
      <c r="AB55" s="66">
        <v>1</v>
      </c>
      <c r="AC55" s="84">
        <v>0.89694399005601633</v>
      </c>
      <c r="AD55" s="89">
        <v>680</v>
      </c>
      <c r="AE55" s="66">
        <v>1</v>
      </c>
      <c r="AF55" s="84">
        <f t="shared" si="3"/>
        <v>0.7421203669467662</v>
      </c>
      <c r="AG55" s="234">
        <f t="shared" si="4"/>
        <v>560</v>
      </c>
    </row>
    <row r="56" spans="1:33" s="8" customFormat="1">
      <c r="A56" s="60">
        <f t="shared" si="5"/>
        <v>49</v>
      </c>
      <c r="B56" s="61">
        <v>1774</v>
      </c>
      <c r="C56" s="62" t="s">
        <v>82</v>
      </c>
      <c r="D56" s="62" t="s">
        <v>43</v>
      </c>
      <c r="E56" s="62" t="s">
        <v>43</v>
      </c>
      <c r="F56" s="36" t="s">
        <v>371</v>
      </c>
      <c r="G56" s="62"/>
      <c r="H56" s="62"/>
      <c r="I56" s="62" t="s">
        <v>360</v>
      </c>
      <c r="J56" s="77">
        <v>5</v>
      </c>
      <c r="K56" s="77">
        <v>5</v>
      </c>
      <c r="L56" s="77">
        <v>5</v>
      </c>
      <c r="M56" s="77">
        <v>5</v>
      </c>
      <c r="N56" s="77">
        <v>5</v>
      </c>
      <c r="O56" s="77">
        <v>4</v>
      </c>
      <c r="P56" s="77">
        <v>4</v>
      </c>
      <c r="Q56" s="77">
        <v>4</v>
      </c>
      <c r="R56" s="63">
        <f t="shared" si="0"/>
        <v>4.8000000000000007</v>
      </c>
      <c r="S56" s="64">
        <f t="shared" si="1"/>
        <v>0.96</v>
      </c>
      <c r="T56" s="65" t="str">
        <f t="shared" si="2"/>
        <v>Grade-A</v>
      </c>
      <c r="U56" s="66">
        <f>IFERROR(VLOOKUP(F56,[3]Database!F:G,2,0),0)</f>
        <v>800</v>
      </c>
      <c r="V56" s="66">
        <v>1</v>
      </c>
      <c r="W56" s="84">
        <v>0.89694399005601633</v>
      </c>
      <c r="X56" s="89">
        <v>680</v>
      </c>
      <c r="Y56" s="66">
        <v>1</v>
      </c>
      <c r="Z56" s="84">
        <v>0.89694399005601633</v>
      </c>
      <c r="AA56" s="89">
        <v>680</v>
      </c>
      <c r="AB56" s="66">
        <v>1</v>
      </c>
      <c r="AC56" s="84">
        <v>0.89694399005601633</v>
      </c>
      <c r="AD56" s="89">
        <v>680</v>
      </c>
      <c r="AE56" s="66">
        <v>1</v>
      </c>
      <c r="AF56" s="84">
        <f t="shared" si="3"/>
        <v>0.7421203669467662</v>
      </c>
      <c r="AG56" s="234">
        <f t="shared" si="4"/>
        <v>570</v>
      </c>
    </row>
    <row r="57" spans="1:33">
      <c r="A57" s="60">
        <f t="shared" si="5"/>
        <v>50</v>
      </c>
      <c r="B57" s="61">
        <v>23199</v>
      </c>
      <c r="C57" s="62" t="s">
        <v>456</v>
      </c>
      <c r="D57" s="62" t="s">
        <v>43</v>
      </c>
      <c r="E57" s="62" t="s">
        <v>43</v>
      </c>
      <c r="F57" s="36" t="s">
        <v>371</v>
      </c>
      <c r="G57" s="62"/>
      <c r="H57" s="62"/>
      <c r="I57" s="62" t="s">
        <v>360</v>
      </c>
      <c r="J57" s="77">
        <v>5</v>
      </c>
      <c r="K57" s="77">
        <v>5</v>
      </c>
      <c r="L57" s="77">
        <v>4</v>
      </c>
      <c r="M57" s="77">
        <v>5</v>
      </c>
      <c r="N57" s="77">
        <v>5</v>
      </c>
      <c r="O57" s="77">
        <v>5</v>
      </c>
      <c r="P57" s="77">
        <v>5</v>
      </c>
      <c r="Q57" s="77">
        <v>4</v>
      </c>
      <c r="R57" s="63">
        <f t="shared" si="0"/>
        <v>4.8500000000000005</v>
      </c>
      <c r="S57" s="64">
        <f t="shared" si="1"/>
        <v>0.97</v>
      </c>
      <c r="T57" s="65" t="str">
        <f t="shared" si="2"/>
        <v>Grade-A</v>
      </c>
      <c r="U57" s="66">
        <f>IFERROR(VLOOKUP(F57,[3]Database!F:G,2,0),0)</f>
        <v>800</v>
      </c>
      <c r="V57" s="66">
        <v>1</v>
      </c>
      <c r="W57" s="84">
        <v>0.89694399005601633</v>
      </c>
      <c r="X57" s="89">
        <v>680</v>
      </c>
      <c r="Y57" s="66">
        <v>1</v>
      </c>
      <c r="Z57" s="84">
        <v>0.89694399005601633</v>
      </c>
      <c r="AA57" s="89">
        <v>680</v>
      </c>
      <c r="AB57" s="66">
        <v>1</v>
      </c>
      <c r="AC57" s="84">
        <v>0.89694399005601633</v>
      </c>
      <c r="AD57" s="89">
        <v>680</v>
      </c>
      <c r="AE57" s="66">
        <v>1</v>
      </c>
      <c r="AF57" s="84">
        <f t="shared" si="3"/>
        <v>0.7421203669467662</v>
      </c>
      <c r="AG57" s="234">
        <f t="shared" si="4"/>
        <v>580</v>
      </c>
    </row>
    <row r="58" spans="1:33">
      <c r="A58" s="60">
        <f t="shared" si="5"/>
        <v>51</v>
      </c>
      <c r="B58" s="69">
        <v>1747</v>
      </c>
      <c r="C58" s="70" t="s">
        <v>83</v>
      </c>
      <c r="D58" s="70" t="s">
        <v>43</v>
      </c>
      <c r="E58" s="70" t="s">
        <v>43</v>
      </c>
      <c r="F58" s="83" t="s">
        <v>371</v>
      </c>
      <c r="G58" s="70"/>
      <c r="H58" s="70"/>
      <c r="I58" s="62" t="s">
        <v>360</v>
      </c>
      <c r="J58" s="77">
        <v>5</v>
      </c>
      <c r="K58" s="77">
        <v>4</v>
      </c>
      <c r="L58" s="77">
        <v>4</v>
      </c>
      <c r="M58" s="77">
        <v>5</v>
      </c>
      <c r="N58" s="77">
        <v>5</v>
      </c>
      <c r="O58" s="77">
        <v>5</v>
      </c>
      <c r="P58" s="77">
        <v>5</v>
      </c>
      <c r="Q58" s="77">
        <v>5</v>
      </c>
      <c r="R58" s="63">
        <f t="shared" si="0"/>
        <v>4.6999999999999993</v>
      </c>
      <c r="S58" s="64">
        <f t="shared" si="1"/>
        <v>0.94</v>
      </c>
      <c r="T58" s="65" t="str">
        <f t="shared" si="2"/>
        <v>Grade-A</v>
      </c>
      <c r="U58" s="66">
        <f>IFERROR(VLOOKUP(F58,[3]Database!F:G,2,0),0)</f>
        <v>800</v>
      </c>
      <c r="V58" s="66">
        <v>1</v>
      </c>
      <c r="W58" s="84">
        <v>0.89694399005601633</v>
      </c>
      <c r="X58" s="89">
        <v>650</v>
      </c>
      <c r="Y58" s="66">
        <v>1</v>
      </c>
      <c r="Z58" s="84">
        <v>0.89694399005601633</v>
      </c>
      <c r="AA58" s="89">
        <v>650</v>
      </c>
      <c r="AB58" s="66">
        <v>0.42</v>
      </c>
      <c r="AC58" s="84">
        <v>0.89694399005601633</v>
      </c>
      <c r="AD58" s="89">
        <v>280</v>
      </c>
      <c r="AE58" s="66">
        <v>1</v>
      </c>
      <c r="AF58" s="84">
        <f t="shared" si="3"/>
        <v>0.7421203669467662</v>
      </c>
      <c r="AG58" s="234">
        <f t="shared" si="4"/>
        <v>560</v>
      </c>
    </row>
    <row r="59" spans="1:33">
      <c r="A59" s="60">
        <f t="shared" si="5"/>
        <v>52</v>
      </c>
      <c r="B59" s="61">
        <v>23270</v>
      </c>
      <c r="C59" s="62" t="s">
        <v>84</v>
      </c>
      <c r="D59" s="62" t="s">
        <v>43</v>
      </c>
      <c r="E59" s="62" t="s">
        <v>43</v>
      </c>
      <c r="F59" s="36" t="s">
        <v>371</v>
      </c>
      <c r="G59" s="62"/>
      <c r="H59" s="62"/>
      <c r="I59" s="62" t="s">
        <v>360</v>
      </c>
      <c r="J59" s="77">
        <v>4</v>
      </c>
      <c r="K59" s="77">
        <v>5</v>
      </c>
      <c r="L59" s="77">
        <v>5</v>
      </c>
      <c r="M59" s="77">
        <v>5</v>
      </c>
      <c r="N59" s="77">
        <v>5</v>
      </c>
      <c r="O59" s="77">
        <v>5</v>
      </c>
      <c r="P59" s="77">
        <v>5</v>
      </c>
      <c r="Q59" s="77">
        <v>5</v>
      </c>
      <c r="R59" s="63">
        <f t="shared" si="0"/>
        <v>4.7</v>
      </c>
      <c r="S59" s="64">
        <f t="shared" si="1"/>
        <v>0.94000000000000006</v>
      </c>
      <c r="T59" s="65" t="str">
        <f t="shared" si="2"/>
        <v>Grade-A</v>
      </c>
      <c r="U59" s="66">
        <f>IFERROR(VLOOKUP(F59,[3]Database!F:G,2,0),0)</f>
        <v>800</v>
      </c>
      <c r="V59" s="66">
        <v>1</v>
      </c>
      <c r="W59" s="84">
        <v>0.89694399005601633</v>
      </c>
      <c r="X59" s="89">
        <v>670</v>
      </c>
      <c r="Y59" s="66">
        <v>1</v>
      </c>
      <c r="Z59" s="84">
        <v>0.89694399005601633</v>
      </c>
      <c r="AA59" s="89">
        <v>670</v>
      </c>
      <c r="AB59" s="66">
        <v>1</v>
      </c>
      <c r="AC59" s="84">
        <v>0.89694399005601633</v>
      </c>
      <c r="AD59" s="89">
        <v>670</v>
      </c>
      <c r="AE59" s="66">
        <v>1</v>
      </c>
      <c r="AF59" s="84">
        <f t="shared" si="3"/>
        <v>0.7421203669467662</v>
      </c>
      <c r="AG59" s="234">
        <f t="shared" si="4"/>
        <v>560</v>
      </c>
    </row>
    <row r="60" spans="1:33" s="8" customFormat="1">
      <c r="A60" s="60">
        <f t="shared" si="5"/>
        <v>53</v>
      </c>
      <c r="B60" s="61">
        <v>12465</v>
      </c>
      <c r="C60" s="62" t="s">
        <v>85</v>
      </c>
      <c r="D60" s="62" t="s">
        <v>43</v>
      </c>
      <c r="E60" s="62" t="s">
        <v>43</v>
      </c>
      <c r="F60" s="36" t="s">
        <v>371</v>
      </c>
      <c r="G60" s="62"/>
      <c r="H60" s="62"/>
      <c r="I60" s="62" t="s">
        <v>360</v>
      </c>
      <c r="J60" s="77">
        <v>5</v>
      </c>
      <c r="K60" s="77">
        <v>4</v>
      </c>
      <c r="L60" s="77">
        <v>5</v>
      </c>
      <c r="M60" s="77">
        <v>5</v>
      </c>
      <c r="N60" s="77">
        <v>5</v>
      </c>
      <c r="O60" s="77">
        <v>5</v>
      </c>
      <c r="P60" s="77">
        <v>5</v>
      </c>
      <c r="Q60" s="77">
        <v>5</v>
      </c>
      <c r="R60" s="63">
        <f t="shared" si="0"/>
        <v>4.8</v>
      </c>
      <c r="S60" s="64">
        <f t="shared" si="1"/>
        <v>0.96</v>
      </c>
      <c r="T60" s="65" t="str">
        <f t="shared" si="2"/>
        <v>Grade-A</v>
      </c>
      <c r="U60" s="66">
        <f>IFERROR(VLOOKUP(F60,[3]Database!F:G,2,0),0)</f>
        <v>800</v>
      </c>
      <c r="V60" s="66">
        <v>1</v>
      </c>
      <c r="W60" s="84">
        <v>0.89694399005601633</v>
      </c>
      <c r="X60" s="87">
        <v>680</v>
      </c>
      <c r="Y60" s="66">
        <v>1</v>
      </c>
      <c r="Z60" s="84">
        <v>0.89694399005601633</v>
      </c>
      <c r="AA60" s="87">
        <v>680</v>
      </c>
      <c r="AB60" s="66">
        <v>1</v>
      </c>
      <c r="AC60" s="84">
        <v>0.89694399005601633</v>
      </c>
      <c r="AD60" s="87">
        <v>680</v>
      </c>
      <c r="AE60" s="66">
        <v>1</v>
      </c>
      <c r="AF60" s="84">
        <f t="shared" si="3"/>
        <v>0.7421203669467662</v>
      </c>
      <c r="AG60" s="235">
        <f t="shared" si="4"/>
        <v>570</v>
      </c>
    </row>
    <row r="61" spans="1:33">
      <c r="A61" s="60">
        <f t="shared" si="5"/>
        <v>54</v>
      </c>
      <c r="B61" s="61">
        <v>7938</v>
      </c>
      <c r="C61" s="62" t="s">
        <v>457</v>
      </c>
      <c r="D61" s="62" t="s">
        <v>43</v>
      </c>
      <c r="E61" s="62" t="s">
        <v>43</v>
      </c>
      <c r="F61" s="36" t="s">
        <v>371</v>
      </c>
      <c r="G61" s="62"/>
      <c r="H61" s="62"/>
      <c r="I61" s="62" t="s">
        <v>360</v>
      </c>
      <c r="J61" s="77">
        <v>5</v>
      </c>
      <c r="K61" s="77">
        <v>4</v>
      </c>
      <c r="L61" s="77">
        <v>5</v>
      </c>
      <c r="M61" s="77">
        <v>5</v>
      </c>
      <c r="N61" s="77">
        <v>5</v>
      </c>
      <c r="O61" s="77">
        <v>5</v>
      </c>
      <c r="P61" s="77">
        <v>5</v>
      </c>
      <c r="Q61" s="77">
        <v>5</v>
      </c>
      <c r="R61" s="63">
        <f t="shared" si="0"/>
        <v>4.8</v>
      </c>
      <c r="S61" s="64">
        <f t="shared" si="1"/>
        <v>0.96</v>
      </c>
      <c r="T61" s="65" t="str">
        <f t="shared" si="2"/>
        <v>Grade-A</v>
      </c>
      <c r="U61" s="66">
        <f>IFERROR(VLOOKUP(F61,[3]Database!F:G,2,0),0)</f>
        <v>800</v>
      </c>
      <c r="V61" s="66">
        <v>1</v>
      </c>
      <c r="W61" s="84">
        <v>0.89694399005601633</v>
      </c>
      <c r="X61" s="89">
        <v>680</v>
      </c>
      <c r="Y61" s="66">
        <v>1</v>
      </c>
      <c r="Z61" s="84">
        <v>0.89694399005601633</v>
      </c>
      <c r="AA61" s="89">
        <v>680</v>
      </c>
      <c r="AB61" s="66">
        <v>1</v>
      </c>
      <c r="AC61" s="84">
        <v>0.89694399005601633</v>
      </c>
      <c r="AD61" s="89">
        <v>680</v>
      </c>
      <c r="AE61" s="66">
        <v>1</v>
      </c>
      <c r="AF61" s="84">
        <f t="shared" si="3"/>
        <v>0.7421203669467662</v>
      </c>
      <c r="AG61" s="234">
        <f t="shared" si="4"/>
        <v>570</v>
      </c>
    </row>
    <row r="62" spans="1:33">
      <c r="A62" s="60">
        <f t="shared" si="5"/>
        <v>55</v>
      </c>
      <c r="B62" s="61">
        <v>15838</v>
      </c>
      <c r="C62" s="62" t="s">
        <v>458</v>
      </c>
      <c r="D62" s="62" t="s">
        <v>43</v>
      </c>
      <c r="E62" s="62" t="s">
        <v>43</v>
      </c>
      <c r="F62" s="36" t="s">
        <v>371</v>
      </c>
      <c r="G62" s="62"/>
      <c r="H62" s="62"/>
      <c r="I62" s="62" t="s">
        <v>360</v>
      </c>
      <c r="J62" s="77">
        <v>4</v>
      </c>
      <c r="K62" s="77">
        <v>5</v>
      </c>
      <c r="L62" s="77">
        <v>5</v>
      </c>
      <c r="M62" s="77">
        <v>5</v>
      </c>
      <c r="N62" s="77">
        <v>5</v>
      </c>
      <c r="O62" s="77">
        <v>5</v>
      </c>
      <c r="P62" s="77">
        <v>5</v>
      </c>
      <c r="Q62" s="77">
        <v>5</v>
      </c>
      <c r="R62" s="63">
        <f t="shared" si="0"/>
        <v>4.7</v>
      </c>
      <c r="S62" s="64">
        <f t="shared" si="1"/>
        <v>0.94000000000000006</v>
      </c>
      <c r="T62" s="65" t="str">
        <f t="shared" si="2"/>
        <v>Grade-A</v>
      </c>
      <c r="U62" s="66">
        <f>IFERROR(VLOOKUP(F62,[3]Database!F:G,2,0),0)</f>
        <v>800</v>
      </c>
      <c r="V62" s="66">
        <v>1</v>
      </c>
      <c r="W62" s="84">
        <v>0.89694399005601633</v>
      </c>
      <c r="X62" s="87">
        <v>680</v>
      </c>
      <c r="Y62" s="66">
        <v>1</v>
      </c>
      <c r="Z62" s="84">
        <v>0.89694399005601633</v>
      </c>
      <c r="AA62" s="87">
        <v>680</v>
      </c>
      <c r="AB62" s="66">
        <v>0.32</v>
      </c>
      <c r="AC62" s="84">
        <v>0.89694399005601633</v>
      </c>
      <c r="AD62" s="87">
        <v>220</v>
      </c>
      <c r="AE62" s="66">
        <v>1</v>
      </c>
      <c r="AF62" s="84">
        <f t="shared" si="3"/>
        <v>0.7421203669467662</v>
      </c>
      <c r="AG62" s="235">
        <f t="shared" si="4"/>
        <v>560</v>
      </c>
    </row>
    <row r="63" spans="1:33">
      <c r="A63" s="60">
        <f t="shared" si="5"/>
        <v>56</v>
      </c>
      <c r="B63" s="61">
        <v>15909</v>
      </c>
      <c r="C63" s="62" t="s">
        <v>459</v>
      </c>
      <c r="D63" s="62" t="s">
        <v>43</v>
      </c>
      <c r="E63" s="62" t="s">
        <v>43</v>
      </c>
      <c r="F63" s="36" t="s">
        <v>371</v>
      </c>
      <c r="G63" s="62"/>
      <c r="H63" s="62"/>
      <c r="I63" s="62" t="s">
        <v>360</v>
      </c>
      <c r="J63" s="77">
        <v>5</v>
      </c>
      <c r="K63" s="77">
        <v>4</v>
      </c>
      <c r="L63" s="77">
        <v>5</v>
      </c>
      <c r="M63" s="77">
        <v>5</v>
      </c>
      <c r="N63" s="77">
        <v>5</v>
      </c>
      <c r="O63" s="77">
        <v>5</v>
      </c>
      <c r="P63" s="77">
        <v>4</v>
      </c>
      <c r="Q63" s="77">
        <v>4</v>
      </c>
      <c r="R63" s="63">
        <f t="shared" si="0"/>
        <v>4.7</v>
      </c>
      <c r="S63" s="64">
        <f t="shared" si="1"/>
        <v>0.94</v>
      </c>
      <c r="T63" s="65" t="str">
        <f t="shared" si="2"/>
        <v>Grade-A</v>
      </c>
      <c r="U63" s="66">
        <f>IFERROR(VLOOKUP(F63,[3]Database!F:G,2,0),0)</f>
        <v>800</v>
      </c>
      <c r="V63" s="66">
        <v>1</v>
      </c>
      <c r="W63" s="84">
        <v>0.89694399005601633</v>
      </c>
      <c r="X63" s="87">
        <v>650</v>
      </c>
      <c r="Y63" s="66">
        <v>1</v>
      </c>
      <c r="Z63" s="84">
        <v>0.89694399005601633</v>
      </c>
      <c r="AA63" s="87">
        <v>650</v>
      </c>
      <c r="AB63" s="66">
        <v>1</v>
      </c>
      <c r="AC63" s="84">
        <v>0.89694399005601633</v>
      </c>
      <c r="AD63" s="87">
        <v>650</v>
      </c>
      <c r="AE63" s="66">
        <v>1</v>
      </c>
      <c r="AF63" s="84">
        <f t="shared" si="3"/>
        <v>0.7421203669467662</v>
      </c>
      <c r="AG63" s="235">
        <f t="shared" si="4"/>
        <v>560</v>
      </c>
    </row>
    <row r="64" spans="1:33">
      <c r="A64" s="60">
        <f t="shared" si="5"/>
        <v>57</v>
      </c>
      <c r="B64" s="61">
        <v>15935</v>
      </c>
      <c r="C64" s="62" t="s">
        <v>86</v>
      </c>
      <c r="D64" s="62" t="s">
        <v>43</v>
      </c>
      <c r="E64" s="62" t="s">
        <v>43</v>
      </c>
      <c r="F64" s="36" t="s">
        <v>371</v>
      </c>
      <c r="G64" s="62"/>
      <c r="H64" s="62"/>
      <c r="I64" s="62" t="s">
        <v>360</v>
      </c>
      <c r="J64" s="77">
        <v>4</v>
      </c>
      <c r="K64" s="77">
        <v>5</v>
      </c>
      <c r="L64" s="77">
        <v>5</v>
      </c>
      <c r="M64" s="77">
        <v>5</v>
      </c>
      <c r="N64" s="77">
        <v>5</v>
      </c>
      <c r="O64" s="77">
        <v>5</v>
      </c>
      <c r="P64" s="77">
        <v>5</v>
      </c>
      <c r="Q64" s="77">
        <v>5</v>
      </c>
      <c r="R64" s="63">
        <f t="shared" si="0"/>
        <v>4.7</v>
      </c>
      <c r="S64" s="64">
        <f t="shared" si="1"/>
        <v>0.94000000000000006</v>
      </c>
      <c r="T64" s="65" t="str">
        <f t="shared" si="2"/>
        <v>Grade-A</v>
      </c>
      <c r="U64" s="66">
        <f>IFERROR(VLOOKUP(F64,[3]Database!F:G,2,0),0)</f>
        <v>800</v>
      </c>
      <c r="V64" s="66">
        <v>1</v>
      </c>
      <c r="W64" s="84">
        <v>0.89694399005601633</v>
      </c>
      <c r="X64" s="87">
        <v>670</v>
      </c>
      <c r="Y64" s="66">
        <v>1</v>
      </c>
      <c r="Z64" s="84">
        <v>0.89694399005601633</v>
      </c>
      <c r="AA64" s="87">
        <v>670</v>
      </c>
      <c r="AB64" s="66">
        <v>1</v>
      </c>
      <c r="AC64" s="84">
        <v>0.89694399005601633</v>
      </c>
      <c r="AD64" s="87">
        <v>670</v>
      </c>
      <c r="AE64" s="66">
        <v>1</v>
      </c>
      <c r="AF64" s="84">
        <f t="shared" si="3"/>
        <v>0.7421203669467662</v>
      </c>
      <c r="AG64" s="235">
        <f t="shared" si="4"/>
        <v>560</v>
      </c>
    </row>
    <row r="65" spans="1:34">
      <c r="A65" s="60">
        <f t="shared" si="5"/>
        <v>58</v>
      </c>
      <c r="B65" s="69">
        <v>15947</v>
      </c>
      <c r="C65" s="70" t="s">
        <v>460</v>
      </c>
      <c r="D65" s="70" t="s">
        <v>43</v>
      </c>
      <c r="E65" s="70" t="s">
        <v>43</v>
      </c>
      <c r="F65" s="83" t="s">
        <v>371</v>
      </c>
      <c r="G65" s="70"/>
      <c r="H65" s="70"/>
      <c r="I65" s="62" t="s">
        <v>360</v>
      </c>
      <c r="J65" s="77">
        <v>4</v>
      </c>
      <c r="K65" s="77">
        <v>5</v>
      </c>
      <c r="L65" s="77">
        <v>5</v>
      </c>
      <c r="M65" s="77">
        <v>5</v>
      </c>
      <c r="N65" s="77">
        <v>5</v>
      </c>
      <c r="O65" s="77">
        <v>5</v>
      </c>
      <c r="P65" s="77">
        <v>5</v>
      </c>
      <c r="Q65" s="77">
        <v>5</v>
      </c>
      <c r="R65" s="63">
        <f t="shared" si="0"/>
        <v>4.7</v>
      </c>
      <c r="S65" s="64">
        <f t="shared" si="1"/>
        <v>0.94000000000000006</v>
      </c>
      <c r="T65" s="65" t="str">
        <f t="shared" si="2"/>
        <v>Grade-A</v>
      </c>
      <c r="U65" s="66">
        <f>IFERROR(VLOOKUP(F65,[3]Database!F:G,2,0),0)</f>
        <v>800</v>
      </c>
      <c r="V65" s="90">
        <v>1</v>
      </c>
      <c r="W65" s="91">
        <v>0.89694399005601633</v>
      </c>
      <c r="X65" s="89">
        <v>650</v>
      </c>
      <c r="Y65" s="90">
        <v>1</v>
      </c>
      <c r="Z65" s="91">
        <v>0.89694399005601633</v>
      </c>
      <c r="AA65" s="89">
        <v>650</v>
      </c>
      <c r="AB65" s="90">
        <v>0</v>
      </c>
      <c r="AC65" s="91">
        <v>0.89694399005601633</v>
      </c>
      <c r="AD65" s="89">
        <v>0</v>
      </c>
      <c r="AE65" s="90">
        <v>1</v>
      </c>
      <c r="AF65" s="91">
        <f t="shared" si="3"/>
        <v>0.7421203669467662</v>
      </c>
      <c r="AG65" s="234">
        <f t="shared" si="4"/>
        <v>560</v>
      </c>
    </row>
    <row r="66" spans="1:34">
      <c r="A66" s="60">
        <f t="shared" si="5"/>
        <v>59</v>
      </c>
      <c r="B66" s="69">
        <v>15829</v>
      </c>
      <c r="C66" s="70" t="s">
        <v>461</v>
      </c>
      <c r="D66" s="70" t="s">
        <v>43</v>
      </c>
      <c r="E66" s="70" t="s">
        <v>43</v>
      </c>
      <c r="F66" s="83" t="s">
        <v>371</v>
      </c>
      <c r="G66" s="70"/>
      <c r="H66" s="70"/>
      <c r="I66" s="62" t="s">
        <v>360</v>
      </c>
      <c r="J66" s="77">
        <v>4</v>
      </c>
      <c r="K66" s="77">
        <v>5</v>
      </c>
      <c r="L66" s="77">
        <v>5</v>
      </c>
      <c r="M66" s="77">
        <v>5</v>
      </c>
      <c r="N66" s="77">
        <v>5</v>
      </c>
      <c r="O66" s="77">
        <v>5</v>
      </c>
      <c r="P66" s="77">
        <v>5</v>
      </c>
      <c r="Q66" s="77">
        <v>5</v>
      </c>
      <c r="R66" s="63">
        <f t="shared" si="0"/>
        <v>4.7</v>
      </c>
      <c r="S66" s="64">
        <f t="shared" si="1"/>
        <v>0.94000000000000006</v>
      </c>
      <c r="T66" s="65" t="str">
        <f t="shared" si="2"/>
        <v>Grade-A</v>
      </c>
      <c r="U66" s="66">
        <f>IFERROR(VLOOKUP(F66,[3]Database!F:G,2,0),0)</f>
        <v>800</v>
      </c>
      <c r="V66" s="90">
        <v>1</v>
      </c>
      <c r="W66" s="91">
        <v>0.89694399005601633</v>
      </c>
      <c r="X66" s="89">
        <v>650</v>
      </c>
      <c r="Y66" s="90">
        <v>1</v>
      </c>
      <c r="Z66" s="91">
        <v>0.89694399005601633</v>
      </c>
      <c r="AA66" s="89">
        <v>650</v>
      </c>
      <c r="AB66" s="90">
        <v>1</v>
      </c>
      <c r="AC66" s="91">
        <v>0.89694399005601633</v>
      </c>
      <c r="AD66" s="89">
        <v>650</v>
      </c>
      <c r="AE66" s="90">
        <v>1</v>
      </c>
      <c r="AF66" s="91">
        <f t="shared" si="3"/>
        <v>0.7421203669467662</v>
      </c>
      <c r="AG66" s="234">
        <f t="shared" si="4"/>
        <v>560</v>
      </c>
    </row>
    <row r="67" spans="1:34">
      <c r="A67" s="60">
        <f t="shared" si="5"/>
        <v>60</v>
      </c>
      <c r="B67" s="69">
        <v>4760</v>
      </c>
      <c r="C67" s="70" t="s">
        <v>462</v>
      </c>
      <c r="D67" s="70" t="s">
        <v>32</v>
      </c>
      <c r="E67" s="70" t="s">
        <v>43</v>
      </c>
      <c r="F67" s="83" t="s">
        <v>371</v>
      </c>
      <c r="G67" s="70"/>
      <c r="H67" s="70"/>
      <c r="I67" s="62" t="s">
        <v>360</v>
      </c>
      <c r="J67" s="71">
        <v>4</v>
      </c>
      <c r="K67" s="71">
        <v>5</v>
      </c>
      <c r="L67" s="71">
        <v>5</v>
      </c>
      <c r="M67" s="71">
        <v>5</v>
      </c>
      <c r="N67" s="71">
        <v>5</v>
      </c>
      <c r="O67" s="71">
        <v>5</v>
      </c>
      <c r="P67" s="71">
        <v>4</v>
      </c>
      <c r="Q67" s="71">
        <v>4</v>
      </c>
      <c r="R67" s="63">
        <f t="shared" si="0"/>
        <v>4.6000000000000005</v>
      </c>
      <c r="S67" s="64">
        <f t="shared" si="1"/>
        <v>0.92</v>
      </c>
      <c r="T67" s="65" t="str">
        <f t="shared" si="2"/>
        <v>Grade-A</v>
      </c>
      <c r="U67" s="66">
        <f>IFERROR(VLOOKUP(F67,[3]Database!F:G,2,0),0)</f>
        <v>800</v>
      </c>
      <c r="V67" s="66">
        <v>1</v>
      </c>
      <c r="W67" s="91">
        <v>0.89694399005601633</v>
      </c>
      <c r="X67" s="89">
        <v>640</v>
      </c>
      <c r="Y67" s="66">
        <v>1</v>
      </c>
      <c r="Z67" s="91">
        <v>0.89694399005601633</v>
      </c>
      <c r="AA67" s="89">
        <v>640</v>
      </c>
      <c r="AB67" s="66">
        <v>1</v>
      </c>
      <c r="AC67" s="91">
        <v>0.89694399005601633</v>
      </c>
      <c r="AD67" s="89">
        <v>640</v>
      </c>
      <c r="AE67" s="66">
        <v>1</v>
      </c>
      <c r="AF67" s="91">
        <f t="shared" si="3"/>
        <v>0.7421203669467662</v>
      </c>
      <c r="AG67" s="234">
        <f t="shared" si="4"/>
        <v>550</v>
      </c>
    </row>
    <row r="68" spans="1:34">
      <c r="A68" s="60">
        <f t="shared" si="5"/>
        <v>61</v>
      </c>
      <c r="B68" s="61">
        <v>16615</v>
      </c>
      <c r="C68" s="62" t="s">
        <v>463</v>
      </c>
      <c r="D68" s="62" t="s">
        <v>43</v>
      </c>
      <c r="E68" s="62" t="s">
        <v>43</v>
      </c>
      <c r="F68" s="36" t="s">
        <v>371</v>
      </c>
      <c r="G68" s="62"/>
      <c r="H68" s="62"/>
      <c r="I68" s="62" t="s">
        <v>360</v>
      </c>
      <c r="J68" s="77">
        <v>4</v>
      </c>
      <c r="K68" s="77">
        <v>5</v>
      </c>
      <c r="L68" s="77">
        <v>4</v>
      </c>
      <c r="M68" s="77">
        <v>5</v>
      </c>
      <c r="N68" s="77">
        <v>5</v>
      </c>
      <c r="O68" s="77">
        <v>5</v>
      </c>
      <c r="P68" s="77">
        <v>5</v>
      </c>
      <c r="Q68" s="77">
        <v>5</v>
      </c>
      <c r="R68" s="63">
        <f t="shared" si="0"/>
        <v>4.5999999999999996</v>
      </c>
      <c r="S68" s="64">
        <f t="shared" si="1"/>
        <v>0.92</v>
      </c>
      <c r="T68" s="65" t="str">
        <f t="shared" si="2"/>
        <v>Grade-A</v>
      </c>
      <c r="U68" s="66">
        <f>IFERROR(VLOOKUP(F68,[3]Database!F:G,2,0),0)</f>
        <v>800</v>
      </c>
      <c r="V68" s="66">
        <v>1</v>
      </c>
      <c r="W68" s="84">
        <v>0.89694399005601633</v>
      </c>
      <c r="X68" s="89">
        <v>650</v>
      </c>
      <c r="Y68" s="66">
        <v>1</v>
      </c>
      <c r="Z68" s="84">
        <v>0.89694399005601633</v>
      </c>
      <c r="AA68" s="89">
        <v>650</v>
      </c>
      <c r="AB68" s="66">
        <v>1</v>
      </c>
      <c r="AC68" s="84">
        <v>0.89694399005601633</v>
      </c>
      <c r="AD68" s="89">
        <v>650</v>
      </c>
      <c r="AE68" s="66">
        <v>1</v>
      </c>
      <c r="AF68" s="84">
        <f t="shared" si="3"/>
        <v>0.7421203669467662</v>
      </c>
      <c r="AG68" s="234">
        <f t="shared" si="4"/>
        <v>550</v>
      </c>
    </row>
    <row r="69" spans="1:34" s="8" customFormat="1">
      <c r="A69" s="60">
        <f t="shared" si="5"/>
        <v>62</v>
      </c>
      <c r="B69" s="290">
        <v>1632</v>
      </c>
      <c r="C69" s="291" t="s">
        <v>464</v>
      </c>
      <c r="D69" s="291" t="s">
        <v>43</v>
      </c>
      <c r="E69" s="291" t="s">
        <v>43</v>
      </c>
      <c r="F69" s="250" t="s">
        <v>371</v>
      </c>
      <c r="G69" s="291"/>
      <c r="H69" s="291"/>
      <c r="I69" s="291" t="s">
        <v>775</v>
      </c>
      <c r="J69" s="323">
        <v>4</v>
      </c>
      <c r="K69" s="323">
        <v>5</v>
      </c>
      <c r="L69" s="323">
        <v>5</v>
      </c>
      <c r="M69" s="323">
        <v>5</v>
      </c>
      <c r="N69" s="323">
        <v>5</v>
      </c>
      <c r="O69" s="323">
        <v>5</v>
      </c>
      <c r="P69" s="323">
        <v>5</v>
      </c>
      <c r="Q69" s="323">
        <v>5</v>
      </c>
      <c r="R69" s="292">
        <f t="shared" si="0"/>
        <v>4.7</v>
      </c>
      <c r="S69" s="293">
        <f t="shared" si="1"/>
        <v>0.94000000000000006</v>
      </c>
      <c r="T69" s="294" t="str">
        <f t="shared" si="2"/>
        <v>Grade-A</v>
      </c>
      <c r="U69" s="296">
        <f>IFERROR(VLOOKUP(F69,[3]Database!F:G,2,0),0)</f>
        <v>800</v>
      </c>
      <c r="V69" s="296">
        <v>1</v>
      </c>
      <c r="W69" s="297">
        <v>0.89694399005601633</v>
      </c>
      <c r="X69" s="326">
        <v>650</v>
      </c>
      <c r="Y69" s="296">
        <v>1</v>
      </c>
      <c r="Z69" s="297">
        <v>0.89694399005601633</v>
      </c>
      <c r="AA69" s="326">
        <v>650</v>
      </c>
      <c r="AB69" s="296">
        <v>1</v>
      </c>
      <c r="AC69" s="297">
        <v>0.89694399005601633</v>
      </c>
      <c r="AD69" s="326">
        <v>650</v>
      </c>
      <c r="AE69" s="296">
        <v>0.28999999999999998</v>
      </c>
      <c r="AF69" s="297">
        <f t="shared" si="3"/>
        <v>0.7421203669467662</v>
      </c>
      <c r="AG69" s="327">
        <f t="shared" si="4"/>
        <v>170</v>
      </c>
    </row>
    <row r="70" spans="1:34">
      <c r="A70" s="60">
        <f t="shared" si="5"/>
        <v>63</v>
      </c>
      <c r="B70" s="69">
        <v>15942</v>
      </c>
      <c r="C70" s="70" t="s">
        <v>87</v>
      </c>
      <c r="D70" s="70" t="s">
        <v>43</v>
      </c>
      <c r="E70" s="70" t="s">
        <v>43</v>
      </c>
      <c r="F70" s="83" t="s">
        <v>371</v>
      </c>
      <c r="G70" s="70"/>
      <c r="H70" s="70"/>
      <c r="I70" s="62" t="s">
        <v>360</v>
      </c>
      <c r="J70" s="77">
        <v>4</v>
      </c>
      <c r="K70" s="77">
        <v>5</v>
      </c>
      <c r="L70" s="77">
        <v>5</v>
      </c>
      <c r="M70" s="77">
        <v>5</v>
      </c>
      <c r="N70" s="77">
        <v>5</v>
      </c>
      <c r="O70" s="77">
        <v>5</v>
      </c>
      <c r="P70" s="77">
        <v>5</v>
      </c>
      <c r="Q70" s="77">
        <v>5</v>
      </c>
      <c r="R70" s="63">
        <f t="shared" si="0"/>
        <v>4.7</v>
      </c>
      <c r="S70" s="64">
        <f t="shared" si="1"/>
        <v>0.94000000000000006</v>
      </c>
      <c r="T70" s="65" t="str">
        <f t="shared" si="2"/>
        <v>Grade-A</v>
      </c>
      <c r="U70" s="66">
        <f>IFERROR(VLOOKUP(F70,[3]Database!F:G,2,0),0)</f>
        <v>800</v>
      </c>
      <c r="V70" s="90">
        <v>0.94</v>
      </c>
      <c r="W70" s="91">
        <v>0.89694399005601633</v>
      </c>
      <c r="X70" s="89">
        <v>600</v>
      </c>
      <c r="Y70" s="90">
        <v>0</v>
      </c>
      <c r="Z70" s="91">
        <v>0.89694399005601633</v>
      </c>
      <c r="AA70" s="89">
        <v>0</v>
      </c>
      <c r="AB70" s="90">
        <v>0.23</v>
      </c>
      <c r="AC70" s="91">
        <v>0.89694399005601633</v>
      </c>
      <c r="AD70" s="89">
        <v>150</v>
      </c>
      <c r="AE70" s="90">
        <v>1</v>
      </c>
      <c r="AF70" s="91">
        <f t="shared" si="3"/>
        <v>0.7421203669467662</v>
      </c>
      <c r="AG70" s="234">
        <f t="shared" si="4"/>
        <v>560</v>
      </c>
    </row>
    <row r="71" spans="1:34" s="8" customFormat="1">
      <c r="A71" s="60">
        <f t="shared" si="5"/>
        <v>64</v>
      </c>
      <c r="B71" s="61">
        <v>4619</v>
      </c>
      <c r="C71" s="62" t="s">
        <v>465</v>
      </c>
      <c r="D71" s="62" t="s">
        <v>43</v>
      </c>
      <c r="E71" s="62" t="s">
        <v>43</v>
      </c>
      <c r="F71" s="36" t="s">
        <v>371</v>
      </c>
      <c r="G71" s="62"/>
      <c r="H71" s="62"/>
      <c r="I71" s="62" t="s">
        <v>765</v>
      </c>
      <c r="J71" s="77">
        <v>4</v>
      </c>
      <c r="K71" s="77">
        <v>5</v>
      </c>
      <c r="L71" s="77">
        <v>4</v>
      </c>
      <c r="M71" s="77">
        <v>5</v>
      </c>
      <c r="N71" s="77">
        <v>5</v>
      </c>
      <c r="O71" s="77">
        <v>5</v>
      </c>
      <c r="P71" s="77">
        <v>5</v>
      </c>
      <c r="Q71" s="77">
        <v>5</v>
      </c>
      <c r="R71" s="63">
        <f t="shared" si="0"/>
        <v>4.5999999999999996</v>
      </c>
      <c r="S71" s="64">
        <f t="shared" si="1"/>
        <v>0.92</v>
      </c>
      <c r="T71" s="65" t="str">
        <f t="shared" si="2"/>
        <v>Grade-A</v>
      </c>
      <c r="U71" s="66">
        <f>IFERROR(VLOOKUP(F71,[3]Database!F:G,2,0),0)</f>
        <v>800</v>
      </c>
      <c r="V71" s="66">
        <v>1</v>
      </c>
      <c r="W71" s="84">
        <v>0.89694399005601633</v>
      </c>
      <c r="X71" s="87">
        <v>650</v>
      </c>
      <c r="Y71" s="66">
        <v>1</v>
      </c>
      <c r="Z71" s="84">
        <v>0.89694399005601633</v>
      </c>
      <c r="AA71" s="87">
        <v>650</v>
      </c>
      <c r="AB71" s="66">
        <v>1</v>
      </c>
      <c r="AC71" s="84">
        <v>0.89694399005601633</v>
      </c>
      <c r="AD71" s="87">
        <v>650</v>
      </c>
      <c r="AE71" s="66">
        <v>0.13</v>
      </c>
      <c r="AF71" s="84">
        <f t="shared" si="3"/>
        <v>0.7421203669467662</v>
      </c>
      <c r="AG71" s="235">
        <f t="shared" si="4"/>
        <v>80</v>
      </c>
    </row>
    <row r="72" spans="1:34">
      <c r="A72" s="60">
        <f t="shared" si="5"/>
        <v>65</v>
      </c>
      <c r="B72" s="61">
        <v>4658</v>
      </c>
      <c r="C72" s="62" t="s">
        <v>466</v>
      </c>
      <c r="D72" s="62" t="s">
        <v>43</v>
      </c>
      <c r="E72" s="62" t="s">
        <v>43</v>
      </c>
      <c r="F72" s="36" t="s">
        <v>371</v>
      </c>
      <c r="G72" s="62"/>
      <c r="H72" s="62"/>
      <c r="I72" s="62" t="s">
        <v>360</v>
      </c>
      <c r="J72" s="77">
        <v>5</v>
      </c>
      <c r="K72" s="77">
        <v>4</v>
      </c>
      <c r="L72" s="77">
        <v>5</v>
      </c>
      <c r="M72" s="77">
        <v>5</v>
      </c>
      <c r="N72" s="77">
        <v>5</v>
      </c>
      <c r="O72" s="77">
        <v>5</v>
      </c>
      <c r="P72" s="77">
        <v>5</v>
      </c>
      <c r="Q72" s="77">
        <v>5</v>
      </c>
      <c r="R72" s="63">
        <f t="shared" ref="R72:R135" si="6">IF(B72&lt;&gt;"", J72*0.3 + K72*0.2 + L72*0.1 + M72*0.1 + N72*0.1 + O72*0.1 + P72*0.05 + Q72*0.05, "")</f>
        <v>4.8</v>
      </c>
      <c r="S72" s="64">
        <f t="shared" ref="S72:S135" si="7">IF(B72&lt;&gt;"", (($I$4/5)*J72) + (($J$4/5)*K72) + (($K$4/5)*L72) + (($L$4/5)*M72) + (($M$4/5)*N72) + (($N$4/5)*O72) + (($O$4/5)*P72) + (($P$4/5)*Q72), "")</f>
        <v>0.96</v>
      </c>
      <c r="T72" s="65" t="str">
        <f t="shared" ref="T72:T135" si="8">IF(B72&lt;&gt;"", IF(R72=0, "No-Grade",   IF(AND(R72&gt;=4.5, R72&lt;=5), "Grade-A",   IF(AND(R72&gt;=3, R72&lt;4.5), "Grade-B",   IF(AND(R72&gt;=2, R72&lt;3), "Grade-C",   IF(R72&lt;2, "Grade-D",   "Grade-D"))))), "")</f>
        <v>Grade-A</v>
      </c>
      <c r="U72" s="66">
        <f>IFERROR(VLOOKUP(F72,[3]Database!F:G,2,0),0)</f>
        <v>800</v>
      </c>
      <c r="V72" s="66">
        <v>1</v>
      </c>
      <c r="W72" s="84">
        <v>0.89694399005601633</v>
      </c>
      <c r="X72" s="89">
        <v>650</v>
      </c>
      <c r="Y72" s="66">
        <v>1</v>
      </c>
      <c r="Z72" s="84">
        <v>0.89694399005601633</v>
      </c>
      <c r="AA72" s="89">
        <v>650</v>
      </c>
      <c r="AB72" s="66">
        <v>1</v>
      </c>
      <c r="AC72" s="84">
        <v>0.89694399005601633</v>
      </c>
      <c r="AD72" s="89">
        <v>650</v>
      </c>
      <c r="AE72" s="66">
        <v>1</v>
      </c>
      <c r="AF72" s="84">
        <f t="shared" si="3"/>
        <v>0.7421203669467662</v>
      </c>
      <c r="AG72" s="234">
        <f t="shared" si="4"/>
        <v>570</v>
      </c>
    </row>
    <row r="73" spans="1:34" s="41" customFormat="1">
      <c r="A73" s="60">
        <f t="shared" si="5"/>
        <v>66</v>
      </c>
      <c r="B73" s="69">
        <v>19505</v>
      </c>
      <c r="C73" s="70" t="s">
        <v>467</v>
      </c>
      <c r="D73" s="70" t="s">
        <v>43</v>
      </c>
      <c r="E73" s="70" t="s">
        <v>43</v>
      </c>
      <c r="F73" s="83" t="s">
        <v>371</v>
      </c>
      <c r="G73" s="70"/>
      <c r="H73" s="70"/>
      <c r="I73" s="62" t="s">
        <v>360</v>
      </c>
      <c r="J73" s="71">
        <v>4</v>
      </c>
      <c r="K73" s="71">
        <v>4</v>
      </c>
      <c r="L73" s="71">
        <v>5</v>
      </c>
      <c r="M73" s="71">
        <v>5</v>
      </c>
      <c r="N73" s="71">
        <v>5</v>
      </c>
      <c r="O73" s="71">
        <v>5</v>
      </c>
      <c r="P73" s="71">
        <v>5</v>
      </c>
      <c r="Q73" s="71">
        <v>5</v>
      </c>
      <c r="R73" s="63">
        <f t="shared" si="6"/>
        <v>4.5</v>
      </c>
      <c r="S73" s="64">
        <f t="shared" si="7"/>
        <v>0.9</v>
      </c>
      <c r="T73" s="65" t="str">
        <f t="shared" si="8"/>
        <v>Grade-A</v>
      </c>
      <c r="U73" s="66">
        <f>IFERROR(VLOOKUP(F73,[3]Database!F:G,2,0),0)</f>
        <v>800</v>
      </c>
      <c r="V73" s="66">
        <v>1</v>
      </c>
      <c r="W73" s="91">
        <v>0.89694399005601633</v>
      </c>
      <c r="X73" s="89">
        <v>640</v>
      </c>
      <c r="Y73" s="66">
        <v>1</v>
      </c>
      <c r="Z73" s="91">
        <v>0.89694399005601633</v>
      </c>
      <c r="AA73" s="89">
        <v>640</v>
      </c>
      <c r="AB73" s="66">
        <v>1</v>
      </c>
      <c r="AC73" s="91">
        <v>0.89694399005601633</v>
      </c>
      <c r="AD73" s="89">
        <v>640</v>
      </c>
      <c r="AE73" s="66">
        <v>1</v>
      </c>
      <c r="AF73" s="91">
        <f t="shared" ref="AF73:AF137" si="9">$AG$6/$AF$6</f>
        <v>0.7421203669467662</v>
      </c>
      <c r="AG73" s="234">
        <f t="shared" ref="AG73:AG137" si="10">CEILING(S73*U73*AE73*AF73,10)</f>
        <v>540</v>
      </c>
    </row>
    <row r="74" spans="1:34">
      <c r="A74" s="60">
        <f t="shared" ref="A74:A137" si="11">A73+1</f>
        <v>67</v>
      </c>
      <c r="B74" s="61">
        <v>25601</v>
      </c>
      <c r="C74" s="62" t="s">
        <v>612</v>
      </c>
      <c r="D74" s="62" t="s">
        <v>43</v>
      </c>
      <c r="E74" s="62" t="s">
        <v>43</v>
      </c>
      <c r="F74" s="36" t="s">
        <v>371</v>
      </c>
      <c r="G74" s="62"/>
      <c r="H74" s="62"/>
      <c r="I74" s="62" t="s">
        <v>360</v>
      </c>
      <c r="J74" s="77">
        <v>4</v>
      </c>
      <c r="K74" s="77">
        <v>5</v>
      </c>
      <c r="L74" s="77">
        <v>5</v>
      </c>
      <c r="M74" s="77">
        <v>5</v>
      </c>
      <c r="N74" s="77">
        <v>5</v>
      </c>
      <c r="O74" s="77">
        <v>5</v>
      </c>
      <c r="P74" s="77">
        <v>5</v>
      </c>
      <c r="Q74" s="77">
        <v>5</v>
      </c>
      <c r="R74" s="63">
        <f t="shared" si="6"/>
        <v>4.7</v>
      </c>
      <c r="S74" s="64">
        <f t="shared" si="7"/>
        <v>0.94000000000000006</v>
      </c>
      <c r="T74" s="65" t="str">
        <f t="shared" si="8"/>
        <v>Grade-A</v>
      </c>
      <c r="U74" s="66">
        <f>IFERROR(VLOOKUP(F74,[3]Database!F:G,2,0),0)</f>
        <v>800</v>
      </c>
      <c r="V74" s="66">
        <v>1</v>
      </c>
      <c r="W74" s="84">
        <v>0.89694399005601633</v>
      </c>
      <c r="X74" s="89">
        <v>650</v>
      </c>
      <c r="Y74" s="66">
        <v>1</v>
      </c>
      <c r="Z74" s="84">
        <v>0.89694399005601633</v>
      </c>
      <c r="AA74" s="89">
        <v>650</v>
      </c>
      <c r="AB74" s="66">
        <v>1</v>
      </c>
      <c r="AC74" s="84">
        <v>0.89694399005601633</v>
      </c>
      <c r="AD74" s="89">
        <v>650</v>
      </c>
      <c r="AE74" s="66">
        <v>1</v>
      </c>
      <c r="AF74" s="84">
        <f t="shared" si="9"/>
        <v>0.7421203669467662</v>
      </c>
      <c r="AG74" s="234">
        <f t="shared" si="10"/>
        <v>560</v>
      </c>
      <c r="AH74" s="8"/>
    </row>
    <row r="75" spans="1:34" s="41" customFormat="1">
      <c r="A75" s="60">
        <f t="shared" si="11"/>
        <v>68</v>
      </c>
      <c r="B75" s="69">
        <v>16649</v>
      </c>
      <c r="C75" s="70" t="s">
        <v>468</v>
      </c>
      <c r="D75" s="70" t="s">
        <v>32</v>
      </c>
      <c r="E75" s="70" t="s">
        <v>43</v>
      </c>
      <c r="F75" s="83" t="s">
        <v>371</v>
      </c>
      <c r="G75" s="70"/>
      <c r="H75" s="70"/>
      <c r="I75" s="62" t="s">
        <v>360</v>
      </c>
      <c r="J75" s="77">
        <v>5</v>
      </c>
      <c r="K75" s="77">
        <v>4</v>
      </c>
      <c r="L75" s="77">
        <v>4</v>
      </c>
      <c r="M75" s="77">
        <v>5</v>
      </c>
      <c r="N75" s="77">
        <v>5</v>
      </c>
      <c r="O75" s="77">
        <v>5</v>
      </c>
      <c r="P75" s="77">
        <v>5</v>
      </c>
      <c r="Q75" s="77">
        <v>5</v>
      </c>
      <c r="R75" s="63">
        <f t="shared" si="6"/>
        <v>4.6999999999999993</v>
      </c>
      <c r="S75" s="64">
        <f t="shared" si="7"/>
        <v>0.94</v>
      </c>
      <c r="T75" s="65" t="str">
        <f t="shared" si="8"/>
        <v>Grade-A</v>
      </c>
      <c r="U75" s="66">
        <f>IFERROR(VLOOKUP(F75,[3]Database!F:G,2,0),0)</f>
        <v>800</v>
      </c>
      <c r="V75" s="66">
        <v>1</v>
      </c>
      <c r="W75" s="91">
        <v>0.89694399005601633</v>
      </c>
      <c r="X75" s="89">
        <v>650</v>
      </c>
      <c r="Y75" s="66">
        <v>0.19</v>
      </c>
      <c r="Z75" s="91">
        <v>0.89694399005601633</v>
      </c>
      <c r="AA75" s="89">
        <v>130</v>
      </c>
      <c r="AB75" s="66">
        <v>1</v>
      </c>
      <c r="AC75" s="91">
        <v>0.89694399005601633</v>
      </c>
      <c r="AD75" s="89">
        <v>650</v>
      </c>
      <c r="AE75" s="66">
        <v>1</v>
      </c>
      <c r="AF75" s="91">
        <f t="shared" si="9"/>
        <v>0.7421203669467662</v>
      </c>
      <c r="AG75" s="234">
        <f t="shared" si="10"/>
        <v>560</v>
      </c>
    </row>
    <row r="76" spans="1:34">
      <c r="A76" s="60">
        <f t="shared" si="11"/>
        <v>69</v>
      </c>
      <c r="B76" s="61">
        <v>8074</v>
      </c>
      <c r="C76" s="62" t="s">
        <v>469</v>
      </c>
      <c r="D76" s="62" t="s">
        <v>43</v>
      </c>
      <c r="E76" s="62" t="s">
        <v>43</v>
      </c>
      <c r="F76" s="36" t="s">
        <v>371</v>
      </c>
      <c r="G76" s="62"/>
      <c r="H76" s="62"/>
      <c r="I76" s="62" t="s">
        <v>360</v>
      </c>
      <c r="J76" s="71">
        <v>5</v>
      </c>
      <c r="K76" s="71">
        <v>4</v>
      </c>
      <c r="L76" s="71">
        <v>5</v>
      </c>
      <c r="M76" s="71">
        <v>5</v>
      </c>
      <c r="N76" s="71">
        <v>5</v>
      </c>
      <c r="O76" s="71">
        <v>5</v>
      </c>
      <c r="P76" s="71">
        <v>5</v>
      </c>
      <c r="Q76" s="71">
        <v>4</v>
      </c>
      <c r="R76" s="63">
        <f t="shared" si="6"/>
        <v>4.75</v>
      </c>
      <c r="S76" s="64">
        <f t="shared" si="7"/>
        <v>0.95</v>
      </c>
      <c r="T76" s="65" t="str">
        <f t="shared" si="8"/>
        <v>Grade-A</v>
      </c>
      <c r="U76" s="66">
        <f>IFERROR(VLOOKUP(F76,[3]Database!F:G,2,0),0)</f>
        <v>800</v>
      </c>
      <c r="V76" s="66">
        <v>1</v>
      </c>
      <c r="W76" s="84">
        <v>0.89694399005601633</v>
      </c>
      <c r="X76" s="89">
        <v>680</v>
      </c>
      <c r="Y76" s="66">
        <v>1</v>
      </c>
      <c r="Z76" s="84">
        <v>0.89694399005601633</v>
      </c>
      <c r="AA76" s="89">
        <v>680</v>
      </c>
      <c r="AB76" s="66">
        <v>1</v>
      </c>
      <c r="AC76" s="84">
        <v>0.89694399005601633</v>
      </c>
      <c r="AD76" s="89">
        <v>680</v>
      </c>
      <c r="AE76" s="66">
        <v>1</v>
      </c>
      <c r="AF76" s="84">
        <f t="shared" si="9"/>
        <v>0.7421203669467662</v>
      </c>
      <c r="AG76" s="234">
        <f t="shared" si="10"/>
        <v>570</v>
      </c>
    </row>
    <row r="77" spans="1:34" s="41" customFormat="1">
      <c r="A77" s="60">
        <f t="shared" si="11"/>
        <v>70</v>
      </c>
      <c r="B77" s="69">
        <v>15566</v>
      </c>
      <c r="C77" s="70" t="s">
        <v>470</v>
      </c>
      <c r="D77" s="70" t="s">
        <v>43</v>
      </c>
      <c r="E77" s="70" t="s">
        <v>43</v>
      </c>
      <c r="F77" s="83" t="s">
        <v>371</v>
      </c>
      <c r="G77" s="70"/>
      <c r="H77" s="70"/>
      <c r="I77" s="62" t="s">
        <v>360</v>
      </c>
      <c r="J77" s="77">
        <v>5</v>
      </c>
      <c r="K77" s="77">
        <v>5</v>
      </c>
      <c r="L77" s="77">
        <v>4</v>
      </c>
      <c r="M77" s="77">
        <v>5</v>
      </c>
      <c r="N77" s="77">
        <v>5</v>
      </c>
      <c r="O77" s="77">
        <v>5</v>
      </c>
      <c r="P77" s="77">
        <v>4</v>
      </c>
      <c r="Q77" s="77">
        <v>4</v>
      </c>
      <c r="R77" s="63">
        <f t="shared" si="6"/>
        <v>4.8000000000000007</v>
      </c>
      <c r="S77" s="64">
        <f t="shared" si="7"/>
        <v>0.96</v>
      </c>
      <c r="T77" s="65" t="str">
        <f t="shared" si="8"/>
        <v>Grade-A</v>
      </c>
      <c r="U77" s="66">
        <f>IFERROR(VLOOKUP(F77,[3]Database!F:G,2,0),0)</f>
        <v>800</v>
      </c>
      <c r="V77" s="66">
        <v>1</v>
      </c>
      <c r="W77" s="91">
        <v>0.89694399005601633</v>
      </c>
      <c r="X77" s="89">
        <v>640</v>
      </c>
      <c r="Y77" s="66">
        <v>1</v>
      </c>
      <c r="Z77" s="91">
        <v>0.89694399005601633</v>
      </c>
      <c r="AA77" s="89">
        <v>640</v>
      </c>
      <c r="AB77" s="66">
        <v>0.39</v>
      </c>
      <c r="AC77" s="91">
        <v>0.89694399005601633</v>
      </c>
      <c r="AD77" s="89">
        <v>250</v>
      </c>
      <c r="AE77" s="66">
        <v>1</v>
      </c>
      <c r="AF77" s="91">
        <f t="shared" si="9"/>
        <v>0.7421203669467662</v>
      </c>
      <c r="AG77" s="234">
        <f t="shared" si="10"/>
        <v>570</v>
      </c>
    </row>
    <row r="78" spans="1:34">
      <c r="A78" s="60">
        <f t="shared" si="11"/>
        <v>71</v>
      </c>
      <c r="B78" s="61">
        <v>4699</v>
      </c>
      <c r="C78" s="62" t="s">
        <v>471</v>
      </c>
      <c r="D78" s="62" t="s">
        <v>43</v>
      </c>
      <c r="E78" s="62" t="s">
        <v>43</v>
      </c>
      <c r="F78" s="36" t="s">
        <v>371</v>
      </c>
      <c r="G78" s="62"/>
      <c r="H78" s="62"/>
      <c r="I78" s="62" t="s">
        <v>360</v>
      </c>
      <c r="J78" s="77">
        <v>4</v>
      </c>
      <c r="K78" s="77">
        <v>5</v>
      </c>
      <c r="L78" s="77">
        <v>5</v>
      </c>
      <c r="M78" s="77">
        <v>5</v>
      </c>
      <c r="N78" s="77">
        <v>5</v>
      </c>
      <c r="O78" s="77">
        <v>5</v>
      </c>
      <c r="P78" s="77">
        <v>5</v>
      </c>
      <c r="Q78" s="77">
        <v>5</v>
      </c>
      <c r="R78" s="63">
        <f t="shared" si="6"/>
        <v>4.7</v>
      </c>
      <c r="S78" s="64">
        <f t="shared" si="7"/>
        <v>0.94000000000000006</v>
      </c>
      <c r="T78" s="65" t="str">
        <f t="shared" si="8"/>
        <v>Grade-A</v>
      </c>
      <c r="U78" s="66">
        <f>IFERROR(VLOOKUP(F78,[3]Database!F:G,2,0),0)</f>
        <v>800</v>
      </c>
      <c r="V78" s="66">
        <v>1</v>
      </c>
      <c r="W78" s="84">
        <v>0.89694399005601633</v>
      </c>
      <c r="X78" s="87">
        <v>680</v>
      </c>
      <c r="Y78" s="66">
        <v>1</v>
      </c>
      <c r="Z78" s="84">
        <v>0.89694399005601633</v>
      </c>
      <c r="AA78" s="87">
        <v>680</v>
      </c>
      <c r="AB78" s="66">
        <v>1</v>
      </c>
      <c r="AC78" s="84">
        <v>0.89694399005601633</v>
      </c>
      <c r="AD78" s="87">
        <v>680</v>
      </c>
      <c r="AE78" s="66">
        <v>1</v>
      </c>
      <c r="AF78" s="84">
        <f t="shared" si="9"/>
        <v>0.7421203669467662</v>
      </c>
      <c r="AG78" s="235">
        <f t="shared" si="10"/>
        <v>560</v>
      </c>
    </row>
    <row r="79" spans="1:34">
      <c r="A79" s="60">
        <f t="shared" si="11"/>
        <v>72</v>
      </c>
      <c r="B79" s="69">
        <v>4744</v>
      </c>
      <c r="C79" s="70" t="s">
        <v>472</v>
      </c>
      <c r="D79" s="70" t="s">
        <v>43</v>
      </c>
      <c r="E79" s="70" t="s">
        <v>43</v>
      </c>
      <c r="F79" s="83" t="s">
        <v>371</v>
      </c>
      <c r="G79" s="70"/>
      <c r="H79" s="70"/>
      <c r="I79" s="62" t="s">
        <v>360</v>
      </c>
      <c r="J79" s="77">
        <v>4</v>
      </c>
      <c r="K79" s="77">
        <v>5</v>
      </c>
      <c r="L79" s="77">
        <v>5</v>
      </c>
      <c r="M79" s="77">
        <v>5</v>
      </c>
      <c r="N79" s="77">
        <v>5</v>
      </c>
      <c r="O79" s="77">
        <v>5</v>
      </c>
      <c r="P79" s="77">
        <v>5</v>
      </c>
      <c r="Q79" s="77">
        <v>5</v>
      </c>
      <c r="R79" s="63">
        <f t="shared" si="6"/>
        <v>4.7</v>
      </c>
      <c r="S79" s="64">
        <f t="shared" si="7"/>
        <v>0.94000000000000006</v>
      </c>
      <c r="T79" s="65" t="str">
        <f t="shared" si="8"/>
        <v>Grade-A</v>
      </c>
      <c r="U79" s="66">
        <f>IFERROR(VLOOKUP(F79,[3]Database!F:G,2,0),0)</f>
        <v>800</v>
      </c>
      <c r="V79" s="66">
        <v>1</v>
      </c>
      <c r="W79" s="91">
        <v>0.89694399005601633</v>
      </c>
      <c r="X79" s="89">
        <v>640</v>
      </c>
      <c r="Y79" s="66">
        <v>1</v>
      </c>
      <c r="Z79" s="91">
        <v>0.89694399005601633</v>
      </c>
      <c r="AA79" s="89">
        <v>640</v>
      </c>
      <c r="AB79" s="66">
        <v>1</v>
      </c>
      <c r="AC79" s="91">
        <v>0.89694399005601633</v>
      </c>
      <c r="AD79" s="89">
        <v>640</v>
      </c>
      <c r="AE79" s="66">
        <v>1</v>
      </c>
      <c r="AF79" s="91">
        <f t="shared" si="9"/>
        <v>0.7421203669467662</v>
      </c>
      <c r="AG79" s="234">
        <f t="shared" si="10"/>
        <v>560</v>
      </c>
    </row>
    <row r="80" spans="1:34" s="8" customFormat="1">
      <c r="A80" s="60">
        <f t="shared" si="11"/>
        <v>73</v>
      </c>
      <c r="B80" s="61">
        <v>17150</v>
      </c>
      <c r="C80" s="62" t="s">
        <v>473</v>
      </c>
      <c r="D80" s="62" t="s">
        <v>43</v>
      </c>
      <c r="E80" s="62" t="s">
        <v>43</v>
      </c>
      <c r="F80" s="36" t="s">
        <v>371</v>
      </c>
      <c r="G80" s="62"/>
      <c r="H80" s="62"/>
      <c r="I80" s="62" t="s">
        <v>360</v>
      </c>
      <c r="J80" s="77">
        <v>5</v>
      </c>
      <c r="K80" s="77">
        <v>4</v>
      </c>
      <c r="L80" s="77">
        <v>5</v>
      </c>
      <c r="M80" s="77">
        <v>5</v>
      </c>
      <c r="N80" s="77">
        <v>5</v>
      </c>
      <c r="O80" s="77">
        <v>4</v>
      </c>
      <c r="P80" s="77">
        <v>5</v>
      </c>
      <c r="Q80" s="77">
        <v>5</v>
      </c>
      <c r="R80" s="63">
        <f t="shared" si="6"/>
        <v>4.7</v>
      </c>
      <c r="S80" s="64">
        <f t="shared" si="7"/>
        <v>0.94</v>
      </c>
      <c r="T80" s="65" t="str">
        <f t="shared" si="8"/>
        <v>Grade-A</v>
      </c>
      <c r="U80" s="66">
        <f>IFERROR(VLOOKUP(F80,[3]Database!F:G,2,0),0)</f>
        <v>800</v>
      </c>
      <c r="V80" s="66">
        <v>1</v>
      </c>
      <c r="W80" s="84">
        <v>0.89694399005601633</v>
      </c>
      <c r="X80" s="89">
        <v>640</v>
      </c>
      <c r="Y80" s="66">
        <v>1</v>
      </c>
      <c r="Z80" s="84">
        <v>0.89694399005601633</v>
      </c>
      <c r="AA80" s="89">
        <v>640</v>
      </c>
      <c r="AB80" s="66">
        <v>1</v>
      </c>
      <c r="AC80" s="84">
        <v>0.89694399005601633</v>
      </c>
      <c r="AD80" s="89">
        <v>640</v>
      </c>
      <c r="AE80" s="66">
        <v>1</v>
      </c>
      <c r="AF80" s="84">
        <f t="shared" si="9"/>
        <v>0.7421203669467662</v>
      </c>
      <c r="AG80" s="234">
        <f t="shared" si="10"/>
        <v>560</v>
      </c>
    </row>
    <row r="81" spans="1:33" s="8" customFormat="1">
      <c r="A81" s="60">
        <f t="shared" si="11"/>
        <v>74</v>
      </c>
      <c r="B81" s="61">
        <v>16093</v>
      </c>
      <c r="C81" s="62" t="s">
        <v>474</v>
      </c>
      <c r="D81" s="62" t="s">
        <v>43</v>
      </c>
      <c r="E81" s="62" t="s">
        <v>43</v>
      </c>
      <c r="F81" s="36" t="s">
        <v>371</v>
      </c>
      <c r="G81" s="62"/>
      <c r="H81" s="62"/>
      <c r="I81" s="62" t="s">
        <v>360</v>
      </c>
      <c r="J81" s="77">
        <v>4</v>
      </c>
      <c r="K81" s="77">
        <v>5</v>
      </c>
      <c r="L81" s="77">
        <v>5</v>
      </c>
      <c r="M81" s="77">
        <v>5</v>
      </c>
      <c r="N81" s="77">
        <v>5</v>
      </c>
      <c r="O81" s="77">
        <v>5</v>
      </c>
      <c r="P81" s="77">
        <v>5</v>
      </c>
      <c r="Q81" s="77">
        <v>5</v>
      </c>
      <c r="R81" s="63">
        <f t="shared" si="6"/>
        <v>4.7</v>
      </c>
      <c r="S81" s="64">
        <f t="shared" si="7"/>
        <v>0.94000000000000006</v>
      </c>
      <c r="T81" s="65" t="str">
        <f t="shared" si="8"/>
        <v>Grade-A</v>
      </c>
      <c r="U81" s="66">
        <f>IFERROR(VLOOKUP(F81,[3]Database!F:G,2,0),0)</f>
        <v>800</v>
      </c>
      <c r="V81" s="66">
        <v>1</v>
      </c>
      <c r="W81" s="84">
        <v>0.89694399005601633</v>
      </c>
      <c r="X81" s="87">
        <v>650</v>
      </c>
      <c r="Y81" s="66">
        <v>1</v>
      </c>
      <c r="Z81" s="84">
        <v>0.89694399005601633</v>
      </c>
      <c r="AA81" s="87">
        <v>650</v>
      </c>
      <c r="AB81" s="66">
        <v>1</v>
      </c>
      <c r="AC81" s="84">
        <v>0.89694399005601633</v>
      </c>
      <c r="AD81" s="87">
        <v>650</v>
      </c>
      <c r="AE81" s="66">
        <v>1</v>
      </c>
      <c r="AF81" s="84">
        <f t="shared" si="9"/>
        <v>0.7421203669467662</v>
      </c>
      <c r="AG81" s="235">
        <f t="shared" si="10"/>
        <v>560</v>
      </c>
    </row>
    <row r="82" spans="1:33" s="41" customFormat="1">
      <c r="A82" s="60">
        <f t="shared" si="11"/>
        <v>75</v>
      </c>
      <c r="B82" s="69">
        <v>15910</v>
      </c>
      <c r="C82" s="70" t="s">
        <v>475</v>
      </c>
      <c r="D82" s="70" t="s">
        <v>43</v>
      </c>
      <c r="E82" s="70" t="s">
        <v>43</v>
      </c>
      <c r="F82" s="83" t="s">
        <v>371</v>
      </c>
      <c r="G82" s="70"/>
      <c r="H82" s="70"/>
      <c r="I82" s="62" t="s">
        <v>360</v>
      </c>
      <c r="J82" s="71">
        <v>5</v>
      </c>
      <c r="K82" s="71">
        <v>4</v>
      </c>
      <c r="L82" s="71">
        <v>4</v>
      </c>
      <c r="M82" s="71">
        <v>5</v>
      </c>
      <c r="N82" s="71">
        <v>5</v>
      </c>
      <c r="O82" s="71">
        <v>5</v>
      </c>
      <c r="P82" s="71">
        <v>5</v>
      </c>
      <c r="Q82" s="71">
        <v>5</v>
      </c>
      <c r="R82" s="63">
        <f t="shared" si="6"/>
        <v>4.6999999999999993</v>
      </c>
      <c r="S82" s="64">
        <f t="shared" si="7"/>
        <v>0.94</v>
      </c>
      <c r="T82" s="65" t="str">
        <f t="shared" si="8"/>
        <v>Grade-A</v>
      </c>
      <c r="U82" s="66">
        <f>IFERROR(VLOOKUP(F82,[3]Database!F:G,2,0),0)</f>
        <v>800</v>
      </c>
      <c r="V82" s="66">
        <v>1</v>
      </c>
      <c r="W82" s="91">
        <v>0.89694399005601633</v>
      </c>
      <c r="X82" s="89">
        <v>680</v>
      </c>
      <c r="Y82" s="66">
        <v>0.9</v>
      </c>
      <c r="Z82" s="91">
        <v>0.89694399005601633</v>
      </c>
      <c r="AA82" s="89">
        <v>610</v>
      </c>
      <c r="AB82" s="66">
        <v>1</v>
      </c>
      <c r="AC82" s="91">
        <v>0.89694399005601633</v>
      </c>
      <c r="AD82" s="89">
        <v>680</v>
      </c>
      <c r="AE82" s="66">
        <v>1</v>
      </c>
      <c r="AF82" s="91">
        <f t="shared" si="9"/>
        <v>0.7421203669467662</v>
      </c>
      <c r="AG82" s="234">
        <f t="shared" si="10"/>
        <v>560</v>
      </c>
    </row>
    <row r="83" spans="1:33">
      <c r="A83" s="60">
        <f t="shared" si="11"/>
        <v>76</v>
      </c>
      <c r="B83" s="61">
        <v>114</v>
      </c>
      <c r="C83" s="62" t="s">
        <v>88</v>
      </c>
      <c r="D83" s="62" t="s">
        <v>65</v>
      </c>
      <c r="E83" s="62" t="s">
        <v>314</v>
      </c>
      <c r="F83" s="36" t="s">
        <v>372</v>
      </c>
      <c r="G83" s="62"/>
      <c r="H83" s="62"/>
      <c r="I83" s="62" t="s">
        <v>360</v>
      </c>
      <c r="J83" s="77">
        <v>5</v>
      </c>
      <c r="K83" s="77">
        <v>4</v>
      </c>
      <c r="L83" s="77">
        <v>5</v>
      </c>
      <c r="M83" s="77">
        <v>5</v>
      </c>
      <c r="N83" s="77">
        <v>5</v>
      </c>
      <c r="O83" s="77">
        <v>5</v>
      </c>
      <c r="P83" s="77">
        <v>4</v>
      </c>
      <c r="Q83" s="77">
        <v>5</v>
      </c>
      <c r="R83" s="63">
        <f t="shared" si="6"/>
        <v>4.75</v>
      </c>
      <c r="S83" s="64">
        <f t="shared" si="7"/>
        <v>0.95</v>
      </c>
      <c r="T83" s="65" t="str">
        <f t="shared" si="8"/>
        <v>Grade-A</v>
      </c>
      <c r="U83" s="66">
        <f>IFERROR(VLOOKUP(F83,[3]Database!F:G,2,0),0)</f>
        <v>800</v>
      </c>
      <c r="V83" s="66">
        <v>1</v>
      </c>
      <c r="W83" s="84">
        <v>0.89694399005601633</v>
      </c>
      <c r="X83" s="89">
        <v>670</v>
      </c>
      <c r="Y83" s="66">
        <v>1</v>
      </c>
      <c r="Z83" s="84">
        <v>0.89694399005601633</v>
      </c>
      <c r="AA83" s="89">
        <v>670</v>
      </c>
      <c r="AB83" s="66">
        <v>1</v>
      </c>
      <c r="AC83" s="84">
        <v>0.89694399005601633</v>
      </c>
      <c r="AD83" s="89">
        <v>670</v>
      </c>
      <c r="AE83" s="66">
        <v>1</v>
      </c>
      <c r="AF83" s="84">
        <f t="shared" si="9"/>
        <v>0.7421203669467662</v>
      </c>
      <c r="AG83" s="234">
        <f t="shared" si="10"/>
        <v>570</v>
      </c>
    </row>
    <row r="84" spans="1:33">
      <c r="A84" s="60">
        <f t="shared" si="11"/>
        <v>77</v>
      </c>
      <c r="B84" s="61">
        <v>204</v>
      </c>
      <c r="C84" s="62" t="s">
        <v>89</v>
      </c>
      <c r="D84" s="62" t="s">
        <v>65</v>
      </c>
      <c r="E84" s="62" t="s">
        <v>314</v>
      </c>
      <c r="F84" s="36" t="s">
        <v>372</v>
      </c>
      <c r="G84" s="62"/>
      <c r="H84" s="62"/>
      <c r="I84" s="62" t="s">
        <v>360</v>
      </c>
      <c r="J84" s="77">
        <v>5</v>
      </c>
      <c r="K84" s="77">
        <v>4</v>
      </c>
      <c r="L84" s="77">
        <v>4</v>
      </c>
      <c r="M84" s="77">
        <v>5</v>
      </c>
      <c r="N84" s="77">
        <v>5</v>
      </c>
      <c r="O84" s="77">
        <v>5</v>
      </c>
      <c r="P84" s="77">
        <v>4</v>
      </c>
      <c r="Q84" s="77">
        <v>5</v>
      </c>
      <c r="R84" s="63">
        <f t="shared" si="6"/>
        <v>4.6499999999999995</v>
      </c>
      <c r="S84" s="64">
        <f t="shared" si="7"/>
        <v>0.92999999999999994</v>
      </c>
      <c r="T84" s="65" t="str">
        <f t="shared" si="8"/>
        <v>Grade-A</v>
      </c>
      <c r="U84" s="66">
        <f>IFERROR(VLOOKUP(F84,[3]Database!F:G,2,0),0)</f>
        <v>800</v>
      </c>
      <c r="V84" s="66">
        <v>1</v>
      </c>
      <c r="W84" s="84">
        <v>0.89694399005601633</v>
      </c>
      <c r="X84" s="89">
        <v>670</v>
      </c>
      <c r="Y84" s="66">
        <v>1</v>
      </c>
      <c r="Z84" s="84">
        <v>0.89694399005601633</v>
      </c>
      <c r="AA84" s="89">
        <v>670</v>
      </c>
      <c r="AB84" s="66">
        <v>0.68</v>
      </c>
      <c r="AC84" s="84">
        <v>0.89694399005601633</v>
      </c>
      <c r="AD84" s="89">
        <v>460</v>
      </c>
      <c r="AE84" s="66">
        <v>1</v>
      </c>
      <c r="AF84" s="84">
        <f t="shared" si="9"/>
        <v>0.7421203669467662</v>
      </c>
      <c r="AG84" s="234">
        <f t="shared" si="10"/>
        <v>560</v>
      </c>
    </row>
    <row r="85" spans="1:33" s="8" customFormat="1">
      <c r="A85" s="60">
        <f t="shared" si="11"/>
        <v>78</v>
      </c>
      <c r="B85" s="61">
        <v>297</v>
      </c>
      <c r="C85" s="62" t="s">
        <v>90</v>
      </c>
      <c r="D85" s="62" t="s">
        <v>65</v>
      </c>
      <c r="E85" s="62" t="s">
        <v>314</v>
      </c>
      <c r="F85" s="36" t="s">
        <v>372</v>
      </c>
      <c r="G85" s="62"/>
      <c r="H85" s="62"/>
      <c r="I85" s="62" t="s">
        <v>360</v>
      </c>
      <c r="J85" s="77">
        <v>4</v>
      </c>
      <c r="K85" s="77">
        <v>5</v>
      </c>
      <c r="L85" s="77">
        <v>5</v>
      </c>
      <c r="M85" s="77">
        <v>5</v>
      </c>
      <c r="N85" s="77">
        <v>5</v>
      </c>
      <c r="O85" s="77">
        <v>5</v>
      </c>
      <c r="P85" s="77">
        <v>4</v>
      </c>
      <c r="Q85" s="77">
        <v>5</v>
      </c>
      <c r="R85" s="63">
        <f t="shared" si="6"/>
        <v>4.6500000000000004</v>
      </c>
      <c r="S85" s="64">
        <f t="shared" si="7"/>
        <v>0.93</v>
      </c>
      <c r="T85" s="65" t="str">
        <f t="shared" si="8"/>
        <v>Grade-A</v>
      </c>
      <c r="U85" s="66">
        <f>IFERROR(VLOOKUP(F85,[3]Database!F:G,2,0),0)</f>
        <v>800</v>
      </c>
      <c r="V85" s="66">
        <v>1</v>
      </c>
      <c r="W85" s="84">
        <v>0.89694399005601633</v>
      </c>
      <c r="X85" s="89">
        <v>650</v>
      </c>
      <c r="Y85" s="66">
        <v>1</v>
      </c>
      <c r="Z85" s="84">
        <v>0.89694399005601633</v>
      </c>
      <c r="AA85" s="89">
        <v>650</v>
      </c>
      <c r="AB85" s="66">
        <v>1</v>
      </c>
      <c r="AC85" s="84">
        <v>0.89694399005601633</v>
      </c>
      <c r="AD85" s="89">
        <v>650</v>
      </c>
      <c r="AE85" s="66">
        <v>1</v>
      </c>
      <c r="AF85" s="84">
        <f t="shared" si="9"/>
        <v>0.7421203669467662</v>
      </c>
      <c r="AG85" s="234">
        <f t="shared" si="10"/>
        <v>560</v>
      </c>
    </row>
    <row r="86" spans="1:33">
      <c r="A86" s="60">
        <f t="shared" si="11"/>
        <v>79</v>
      </c>
      <c r="B86" s="61">
        <v>413</v>
      </c>
      <c r="C86" s="62" t="s">
        <v>91</v>
      </c>
      <c r="D86" s="62" t="s">
        <v>65</v>
      </c>
      <c r="E86" s="62" t="s">
        <v>314</v>
      </c>
      <c r="F86" s="36" t="s">
        <v>372</v>
      </c>
      <c r="G86" s="62"/>
      <c r="H86" s="62"/>
      <c r="I86" s="62" t="s">
        <v>360</v>
      </c>
      <c r="J86" s="77">
        <v>5</v>
      </c>
      <c r="K86" s="77">
        <v>5</v>
      </c>
      <c r="L86" s="77">
        <v>4</v>
      </c>
      <c r="M86" s="77">
        <v>5</v>
      </c>
      <c r="N86" s="77">
        <v>5</v>
      </c>
      <c r="O86" s="77">
        <v>4</v>
      </c>
      <c r="P86" s="77">
        <v>5</v>
      </c>
      <c r="Q86" s="77">
        <v>5</v>
      </c>
      <c r="R86" s="63">
        <f t="shared" si="6"/>
        <v>4.8</v>
      </c>
      <c r="S86" s="64">
        <f t="shared" si="7"/>
        <v>0.96</v>
      </c>
      <c r="T86" s="65" t="str">
        <f t="shared" si="8"/>
        <v>Grade-A</v>
      </c>
      <c r="U86" s="66">
        <f>IFERROR(VLOOKUP(F86,[3]Database!F:G,2,0),0)</f>
        <v>800</v>
      </c>
      <c r="V86" s="66">
        <v>1</v>
      </c>
      <c r="W86" s="84">
        <v>0.89694399005601633</v>
      </c>
      <c r="X86" s="89">
        <v>690</v>
      </c>
      <c r="Y86" s="66">
        <v>1</v>
      </c>
      <c r="Z86" s="84">
        <v>0.89694399005601633</v>
      </c>
      <c r="AA86" s="89">
        <v>690</v>
      </c>
      <c r="AB86" s="66">
        <v>1</v>
      </c>
      <c r="AC86" s="84">
        <v>0.89694399005601633</v>
      </c>
      <c r="AD86" s="89">
        <v>690</v>
      </c>
      <c r="AE86" s="66">
        <v>1</v>
      </c>
      <c r="AF86" s="84">
        <f t="shared" si="9"/>
        <v>0.7421203669467662</v>
      </c>
      <c r="AG86" s="234">
        <f t="shared" si="10"/>
        <v>570</v>
      </c>
    </row>
    <row r="87" spans="1:33" s="8" customFormat="1">
      <c r="A87" s="60">
        <f t="shared" si="11"/>
        <v>80</v>
      </c>
      <c r="B87" s="61">
        <v>673</v>
      </c>
      <c r="C87" s="62" t="s">
        <v>92</v>
      </c>
      <c r="D87" s="62" t="s">
        <v>166</v>
      </c>
      <c r="E87" s="62" t="s">
        <v>315</v>
      </c>
      <c r="F87" s="36" t="s">
        <v>373</v>
      </c>
      <c r="G87" s="62"/>
      <c r="H87" s="62"/>
      <c r="I87" s="62" t="s">
        <v>360</v>
      </c>
      <c r="J87" s="77">
        <v>5</v>
      </c>
      <c r="K87" s="77">
        <v>5</v>
      </c>
      <c r="L87" s="77">
        <v>4</v>
      </c>
      <c r="M87" s="77">
        <v>5</v>
      </c>
      <c r="N87" s="77">
        <v>5</v>
      </c>
      <c r="O87" s="77">
        <v>4</v>
      </c>
      <c r="P87" s="77">
        <v>5</v>
      </c>
      <c r="Q87" s="77">
        <v>5</v>
      </c>
      <c r="R87" s="63">
        <f t="shared" si="6"/>
        <v>4.8</v>
      </c>
      <c r="S87" s="64">
        <f t="shared" si="7"/>
        <v>0.96</v>
      </c>
      <c r="T87" s="65" t="str">
        <f t="shared" si="8"/>
        <v>Grade-A</v>
      </c>
      <c r="U87" s="66">
        <f>IFERROR(VLOOKUP(F87,[3]Database!F:G,2,0),0)</f>
        <v>850</v>
      </c>
      <c r="V87" s="66">
        <v>1</v>
      </c>
      <c r="W87" s="84">
        <v>0.89694399005601633</v>
      </c>
      <c r="X87" s="89">
        <v>730</v>
      </c>
      <c r="Y87" s="66">
        <v>1</v>
      </c>
      <c r="Z87" s="84">
        <v>0.89694399005601633</v>
      </c>
      <c r="AA87" s="89">
        <v>730</v>
      </c>
      <c r="AB87" s="66">
        <v>1</v>
      </c>
      <c r="AC87" s="84">
        <v>0.89694399005601633</v>
      </c>
      <c r="AD87" s="89">
        <v>730</v>
      </c>
      <c r="AE87" s="66">
        <v>1</v>
      </c>
      <c r="AF87" s="84">
        <f t="shared" si="9"/>
        <v>0.7421203669467662</v>
      </c>
      <c r="AG87" s="234">
        <f t="shared" si="10"/>
        <v>610</v>
      </c>
    </row>
    <row r="88" spans="1:33" s="8" customFormat="1">
      <c r="A88" s="60">
        <f t="shared" si="11"/>
        <v>81</v>
      </c>
      <c r="B88" s="61">
        <v>15708</v>
      </c>
      <c r="C88" s="62" t="s">
        <v>93</v>
      </c>
      <c r="D88" s="62" t="s">
        <v>32</v>
      </c>
      <c r="E88" s="62" t="s">
        <v>315</v>
      </c>
      <c r="F88" s="36" t="s">
        <v>373</v>
      </c>
      <c r="G88" s="62"/>
      <c r="H88" s="62"/>
      <c r="I88" s="62" t="s">
        <v>769</v>
      </c>
      <c r="J88" s="77">
        <v>5</v>
      </c>
      <c r="K88" s="77">
        <v>4</v>
      </c>
      <c r="L88" s="77">
        <v>4</v>
      </c>
      <c r="M88" s="77">
        <v>5</v>
      </c>
      <c r="N88" s="77">
        <v>5</v>
      </c>
      <c r="O88" s="77">
        <v>5</v>
      </c>
      <c r="P88" s="77">
        <v>4</v>
      </c>
      <c r="Q88" s="77">
        <v>5</v>
      </c>
      <c r="R88" s="63">
        <f t="shared" si="6"/>
        <v>4.6499999999999995</v>
      </c>
      <c r="S88" s="64">
        <f t="shared" si="7"/>
        <v>0.92999999999999994</v>
      </c>
      <c r="T88" s="65" t="str">
        <f t="shared" si="8"/>
        <v>Grade-A</v>
      </c>
      <c r="U88" s="66">
        <f>IFERROR(VLOOKUP(F88,[3]Database!F:G,2,0),0)</f>
        <v>850</v>
      </c>
      <c r="V88" s="66">
        <v>1</v>
      </c>
      <c r="W88" s="84">
        <v>0.89694399005601633</v>
      </c>
      <c r="X88" s="87">
        <v>710</v>
      </c>
      <c r="Y88" s="66">
        <v>1</v>
      </c>
      <c r="Z88" s="84">
        <v>0.89694399005601633</v>
      </c>
      <c r="AA88" s="87">
        <v>710</v>
      </c>
      <c r="AB88" s="66">
        <v>1</v>
      </c>
      <c r="AC88" s="84">
        <v>0.89694399005601633</v>
      </c>
      <c r="AD88" s="87">
        <v>710</v>
      </c>
      <c r="AE88" s="66">
        <v>0.77</v>
      </c>
      <c r="AF88" s="84">
        <f t="shared" si="9"/>
        <v>0.7421203669467662</v>
      </c>
      <c r="AG88" s="235">
        <f t="shared" si="10"/>
        <v>460</v>
      </c>
    </row>
    <row r="89" spans="1:33">
      <c r="A89" s="60">
        <f t="shared" si="11"/>
        <v>82</v>
      </c>
      <c r="B89" s="61">
        <v>4120</v>
      </c>
      <c r="C89" s="62" t="s">
        <v>94</v>
      </c>
      <c r="D89" s="62" t="s">
        <v>65</v>
      </c>
      <c r="E89" s="62" t="s">
        <v>314</v>
      </c>
      <c r="F89" s="36" t="s">
        <v>372</v>
      </c>
      <c r="G89" s="62"/>
      <c r="H89" s="62"/>
      <c r="I89" s="62" t="s">
        <v>360</v>
      </c>
      <c r="J89" s="77">
        <v>5</v>
      </c>
      <c r="K89" s="77">
        <v>4</v>
      </c>
      <c r="L89" s="77">
        <v>4</v>
      </c>
      <c r="M89" s="77">
        <v>4</v>
      </c>
      <c r="N89" s="77">
        <v>4</v>
      </c>
      <c r="O89" s="77">
        <v>5</v>
      </c>
      <c r="P89" s="77">
        <v>5</v>
      </c>
      <c r="Q89" s="77">
        <v>5</v>
      </c>
      <c r="R89" s="63">
        <f t="shared" si="6"/>
        <v>4.5</v>
      </c>
      <c r="S89" s="64">
        <f t="shared" si="7"/>
        <v>0.89999999999999991</v>
      </c>
      <c r="T89" s="65" t="str">
        <f t="shared" si="8"/>
        <v>Grade-A</v>
      </c>
      <c r="U89" s="66">
        <f>IFERROR(VLOOKUP(F89,[3]Database!F:G,2,0),0)</f>
        <v>800</v>
      </c>
      <c r="V89" s="66">
        <v>1</v>
      </c>
      <c r="W89" s="84">
        <v>0.89694399005601633</v>
      </c>
      <c r="X89" s="89">
        <v>650</v>
      </c>
      <c r="Y89" s="66">
        <v>1</v>
      </c>
      <c r="Z89" s="84">
        <v>0.89694399005601633</v>
      </c>
      <c r="AA89" s="89">
        <v>650</v>
      </c>
      <c r="AB89" s="66">
        <v>1</v>
      </c>
      <c r="AC89" s="84">
        <v>0.89694399005601633</v>
      </c>
      <c r="AD89" s="89">
        <v>650</v>
      </c>
      <c r="AE89" s="66">
        <v>1</v>
      </c>
      <c r="AF89" s="84">
        <f t="shared" si="9"/>
        <v>0.7421203669467662</v>
      </c>
      <c r="AG89" s="234">
        <f t="shared" si="10"/>
        <v>540</v>
      </c>
    </row>
    <row r="90" spans="1:33">
      <c r="A90" s="60">
        <f t="shared" si="11"/>
        <v>83</v>
      </c>
      <c r="B90" s="61">
        <v>4701</v>
      </c>
      <c r="C90" s="62" t="s">
        <v>95</v>
      </c>
      <c r="D90" s="62" t="s">
        <v>166</v>
      </c>
      <c r="E90" s="62" t="s">
        <v>315</v>
      </c>
      <c r="F90" s="36" t="s">
        <v>373</v>
      </c>
      <c r="G90" s="62"/>
      <c r="H90" s="62"/>
      <c r="I90" s="62" t="s">
        <v>360</v>
      </c>
      <c r="J90" s="77">
        <v>5</v>
      </c>
      <c r="K90" s="77">
        <v>4</v>
      </c>
      <c r="L90" s="77">
        <v>5</v>
      </c>
      <c r="M90" s="77">
        <v>4</v>
      </c>
      <c r="N90" s="77">
        <v>4</v>
      </c>
      <c r="O90" s="77">
        <v>4</v>
      </c>
      <c r="P90" s="77">
        <v>5</v>
      </c>
      <c r="Q90" s="77">
        <v>5</v>
      </c>
      <c r="R90" s="63">
        <f t="shared" si="6"/>
        <v>4.5</v>
      </c>
      <c r="S90" s="64">
        <f t="shared" si="7"/>
        <v>0.89999999999999991</v>
      </c>
      <c r="T90" s="65" t="str">
        <f t="shared" si="8"/>
        <v>Grade-A</v>
      </c>
      <c r="U90" s="66">
        <f>IFERROR(VLOOKUP(F90,[3]Database!F:G,2,0),0)</f>
        <v>850</v>
      </c>
      <c r="V90" s="66">
        <v>1</v>
      </c>
      <c r="W90" s="84">
        <v>0.89694399005601633</v>
      </c>
      <c r="X90" s="87">
        <v>690</v>
      </c>
      <c r="Y90" s="66">
        <v>1</v>
      </c>
      <c r="Z90" s="84">
        <v>0.89694399005601633</v>
      </c>
      <c r="AA90" s="87">
        <v>690</v>
      </c>
      <c r="AB90" s="66">
        <v>1</v>
      </c>
      <c r="AC90" s="84">
        <v>0.89694399005601633</v>
      </c>
      <c r="AD90" s="87">
        <v>523</v>
      </c>
      <c r="AE90" s="66">
        <v>1</v>
      </c>
      <c r="AF90" s="84">
        <f t="shared" si="9"/>
        <v>0.7421203669467662</v>
      </c>
      <c r="AG90" s="235">
        <f t="shared" si="10"/>
        <v>570</v>
      </c>
    </row>
    <row r="91" spans="1:33">
      <c r="A91" s="60">
        <f t="shared" si="11"/>
        <v>84</v>
      </c>
      <c r="B91" s="61">
        <v>4727</v>
      </c>
      <c r="C91" s="62" t="s">
        <v>96</v>
      </c>
      <c r="D91" s="62" t="s">
        <v>65</v>
      </c>
      <c r="E91" s="62" t="s">
        <v>314</v>
      </c>
      <c r="F91" s="36" t="s">
        <v>372</v>
      </c>
      <c r="G91" s="62"/>
      <c r="H91" s="62"/>
      <c r="I91" s="62" t="s">
        <v>360</v>
      </c>
      <c r="J91" s="77">
        <v>4</v>
      </c>
      <c r="K91" s="77">
        <v>5</v>
      </c>
      <c r="L91" s="77">
        <v>4</v>
      </c>
      <c r="M91" s="77">
        <v>5</v>
      </c>
      <c r="N91" s="77">
        <v>5</v>
      </c>
      <c r="O91" s="77">
        <v>5</v>
      </c>
      <c r="P91" s="77">
        <v>5</v>
      </c>
      <c r="Q91" s="77">
        <v>5</v>
      </c>
      <c r="R91" s="63">
        <f t="shared" si="6"/>
        <v>4.5999999999999996</v>
      </c>
      <c r="S91" s="64">
        <f t="shared" si="7"/>
        <v>0.92</v>
      </c>
      <c r="T91" s="65" t="str">
        <f t="shared" si="8"/>
        <v>Grade-A</v>
      </c>
      <c r="U91" s="66">
        <f>IFERROR(VLOOKUP(F91,[3]Database!F:G,2,0),0)</f>
        <v>800</v>
      </c>
      <c r="V91" s="66">
        <v>1</v>
      </c>
      <c r="W91" s="84">
        <v>0.89694399005601633</v>
      </c>
      <c r="X91" s="89">
        <v>670</v>
      </c>
      <c r="Y91" s="66">
        <v>1</v>
      </c>
      <c r="Z91" s="84">
        <v>0.89694399005601633</v>
      </c>
      <c r="AA91" s="89">
        <v>670</v>
      </c>
      <c r="AB91" s="66">
        <v>1</v>
      </c>
      <c r="AC91" s="84">
        <v>0.89694399005601633</v>
      </c>
      <c r="AD91" s="89">
        <v>670</v>
      </c>
      <c r="AE91" s="66">
        <v>1</v>
      </c>
      <c r="AF91" s="84">
        <f t="shared" si="9"/>
        <v>0.7421203669467662</v>
      </c>
      <c r="AG91" s="234">
        <f t="shared" si="10"/>
        <v>550</v>
      </c>
    </row>
    <row r="92" spans="1:33">
      <c r="A92" s="60">
        <f t="shared" si="11"/>
        <v>85</v>
      </c>
      <c r="B92" s="61">
        <v>6666</v>
      </c>
      <c r="C92" s="62" t="s">
        <v>97</v>
      </c>
      <c r="D92" s="62" t="s">
        <v>65</v>
      </c>
      <c r="E92" s="62" t="s">
        <v>314</v>
      </c>
      <c r="F92" s="36" t="s">
        <v>372</v>
      </c>
      <c r="G92" s="62"/>
      <c r="H92" s="62"/>
      <c r="I92" s="62" t="s">
        <v>360</v>
      </c>
      <c r="J92" s="77">
        <v>5</v>
      </c>
      <c r="K92" s="77">
        <v>5</v>
      </c>
      <c r="L92" s="77">
        <v>4</v>
      </c>
      <c r="M92" s="77">
        <v>5</v>
      </c>
      <c r="N92" s="77">
        <v>5</v>
      </c>
      <c r="O92" s="77">
        <v>4</v>
      </c>
      <c r="P92" s="77">
        <v>4</v>
      </c>
      <c r="Q92" s="77">
        <v>5</v>
      </c>
      <c r="R92" s="63">
        <f t="shared" si="6"/>
        <v>4.75</v>
      </c>
      <c r="S92" s="64">
        <f t="shared" si="7"/>
        <v>0.95</v>
      </c>
      <c r="T92" s="65" t="str">
        <f t="shared" si="8"/>
        <v>Grade-A</v>
      </c>
      <c r="U92" s="66">
        <f>IFERROR(VLOOKUP(F92,[3]Database!F:G,2,0),0)</f>
        <v>800</v>
      </c>
      <c r="V92" s="66">
        <v>1</v>
      </c>
      <c r="W92" s="84">
        <v>0.89694399005601633</v>
      </c>
      <c r="X92" s="89">
        <v>690</v>
      </c>
      <c r="Y92" s="66">
        <v>1</v>
      </c>
      <c r="Z92" s="84">
        <v>0.89694399005601633</v>
      </c>
      <c r="AA92" s="89">
        <v>690</v>
      </c>
      <c r="AB92" s="66">
        <v>0.28999999999999998</v>
      </c>
      <c r="AC92" s="84">
        <v>0.89694399005601633</v>
      </c>
      <c r="AD92" s="89">
        <v>200</v>
      </c>
      <c r="AE92" s="66">
        <v>1</v>
      </c>
      <c r="AF92" s="84">
        <f t="shared" si="9"/>
        <v>0.7421203669467662</v>
      </c>
      <c r="AG92" s="234">
        <f t="shared" si="10"/>
        <v>570</v>
      </c>
    </row>
    <row r="93" spans="1:33">
      <c r="A93" s="60">
        <f t="shared" si="11"/>
        <v>86</v>
      </c>
      <c r="B93" s="61">
        <v>6847</v>
      </c>
      <c r="C93" s="62" t="s">
        <v>98</v>
      </c>
      <c r="D93" s="62" t="s">
        <v>65</v>
      </c>
      <c r="E93" s="62" t="s">
        <v>314</v>
      </c>
      <c r="F93" s="36" t="s">
        <v>372</v>
      </c>
      <c r="G93" s="62"/>
      <c r="H93" s="62"/>
      <c r="I93" s="62" t="s">
        <v>760</v>
      </c>
      <c r="J93" s="77">
        <v>5</v>
      </c>
      <c r="K93" s="77">
        <v>4</v>
      </c>
      <c r="L93" s="77">
        <v>4</v>
      </c>
      <c r="M93" s="77">
        <v>4</v>
      </c>
      <c r="N93" s="77">
        <v>5</v>
      </c>
      <c r="O93" s="77">
        <v>4</v>
      </c>
      <c r="P93" s="77">
        <v>5</v>
      </c>
      <c r="Q93" s="77">
        <v>5</v>
      </c>
      <c r="R93" s="63">
        <f t="shared" si="6"/>
        <v>4.5</v>
      </c>
      <c r="S93" s="64">
        <f t="shared" si="7"/>
        <v>0.89999999999999991</v>
      </c>
      <c r="T93" s="65" t="str">
        <f t="shared" si="8"/>
        <v>Grade-A</v>
      </c>
      <c r="U93" s="66">
        <f>IFERROR(VLOOKUP(F93,[3]Database!F:G,2,0),0)</f>
        <v>800</v>
      </c>
      <c r="V93" s="66">
        <v>1</v>
      </c>
      <c r="W93" s="84">
        <v>0.89694399005601633</v>
      </c>
      <c r="X93" s="87">
        <v>650</v>
      </c>
      <c r="Y93" s="66">
        <v>0.97</v>
      </c>
      <c r="Z93" s="84">
        <v>0.89694399005601633</v>
      </c>
      <c r="AA93" s="87">
        <v>630</v>
      </c>
      <c r="AB93" s="66">
        <v>1</v>
      </c>
      <c r="AC93" s="84">
        <v>0.89694399005601633</v>
      </c>
      <c r="AD93" s="87">
        <v>650</v>
      </c>
      <c r="AE93" s="66">
        <v>0.03</v>
      </c>
      <c r="AF93" s="84">
        <f t="shared" si="9"/>
        <v>0.7421203669467662</v>
      </c>
      <c r="AG93" s="235">
        <f t="shared" si="10"/>
        <v>20</v>
      </c>
    </row>
    <row r="94" spans="1:33">
      <c r="A94" s="60">
        <f t="shared" si="11"/>
        <v>87</v>
      </c>
      <c r="B94" s="69">
        <v>7740</v>
      </c>
      <c r="C94" s="70" t="s">
        <v>99</v>
      </c>
      <c r="D94" s="70" t="s">
        <v>65</v>
      </c>
      <c r="E94" s="70" t="s">
        <v>314</v>
      </c>
      <c r="F94" s="83" t="s">
        <v>372</v>
      </c>
      <c r="G94" s="70"/>
      <c r="H94" s="70"/>
      <c r="I94" s="62" t="s">
        <v>360</v>
      </c>
      <c r="J94" s="71">
        <v>4</v>
      </c>
      <c r="K94" s="71">
        <v>5</v>
      </c>
      <c r="L94" s="71">
        <v>5</v>
      </c>
      <c r="M94" s="71">
        <v>5</v>
      </c>
      <c r="N94" s="71">
        <v>5</v>
      </c>
      <c r="O94" s="71">
        <v>5</v>
      </c>
      <c r="P94" s="71">
        <v>4</v>
      </c>
      <c r="Q94" s="71">
        <v>5</v>
      </c>
      <c r="R94" s="63">
        <f t="shared" si="6"/>
        <v>4.6500000000000004</v>
      </c>
      <c r="S94" s="64">
        <f t="shared" si="7"/>
        <v>0.93</v>
      </c>
      <c r="T94" s="65" t="str">
        <f t="shared" si="8"/>
        <v>Grade-A</v>
      </c>
      <c r="U94" s="66">
        <f>IFERROR(VLOOKUP(F94,[3]Database!F:G,2,0),0)</f>
        <v>800</v>
      </c>
      <c r="V94" s="66">
        <v>1</v>
      </c>
      <c r="W94" s="91">
        <v>0.89694399005601633</v>
      </c>
      <c r="X94" s="89">
        <v>670</v>
      </c>
      <c r="Y94" s="66">
        <v>1</v>
      </c>
      <c r="Z94" s="91">
        <v>0.89694399005601633</v>
      </c>
      <c r="AA94" s="89">
        <v>670</v>
      </c>
      <c r="AB94" s="66">
        <v>1</v>
      </c>
      <c r="AC94" s="91">
        <v>0.89694399005601633</v>
      </c>
      <c r="AD94" s="89">
        <v>670</v>
      </c>
      <c r="AE94" s="66">
        <v>1</v>
      </c>
      <c r="AF94" s="91">
        <f t="shared" si="9"/>
        <v>0.7421203669467662</v>
      </c>
      <c r="AG94" s="234">
        <f t="shared" si="10"/>
        <v>560</v>
      </c>
    </row>
    <row r="95" spans="1:33">
      <c r="A95" s="60">
        <f t="shared" si="11"/>
        <v>88</v>
      </c>
      <c r="B95" s="69">
        <v>17759</v>
      </c>
      <c r="C95" s="70" t="s">
        <v>100</v>
      </c>
      <c r="D95" s="70" t="s">
        <v>65</v>
      </c>
      <c r="E95" s="70" t="s">
        <v>314</v>
      </c>
      <c r="F95" s="83" t="s">
        <v>372</v>
      </c>
      <c r="G95" s="70"/>
      <c r="H95" s="70"/>
      <c r="I95" s="62" t="s">
        <v>360</v>
      </c>
      <c r="J95" s="71">
        <v>4</v>
      </c>
      <c r="K95" s="71">
        <v>5</v>
      </c>
      <c r="L95" s="71">
        <v>5</v>
      </c>
      <c r="M95" s="71">
        <v>5</v>
      </c>
      <c r="N95" s="71">
        <v>5</v>
      </c>
      <c r="O95" s="71">
        <v>5</v>
      </c>
      <c r="P95" s="71">
        <v>5</v>
      </c>
      <c r="Q95" s="71">
        <v>5</v>
      </c>
      <c r="R95" s="63">
        <f t="shared" si="6"/>
        <v>4.7</v>
      </c>
      <c r="S95" s="64">
        <f t="shared" si="7"/>
        <v>0.94000000000000006</v>
      </c>
      <c r="T95" s="65" t="str">
        <f t="shared" si="8"/>
        <v>Grade-A</v>
      </c>
      <c r="U95" s="66">
        <f>IFERROR(VLOOKUP(F95,[3]Database!F:G,2,0),0)</f>
        <v>800</v>
      </c>
      <c r="V95" s="90">
        <v>1</v>
      </c>
      <c r="W95" s="91">
        <v>0.89694399005601633</v>
      </c>
      <c r="X95" s="89">
        <v>650</v>
      </c>
      <c r="Y95" s="90">
        <v>1</v>
      </c>
      <c r="Z95" s="91">
        <v>0.89694399005601633</v>
      </c>
      <c r="AA95" s="89">
        <v>650</v>
      </c>
      <c r="AB95" s="90">
        <v>0</v>
      </c>
      <c r="AC95" s="91">
        <v>0.89694399005601633</v>
      </c>
      <c r="AD95" s="89">
        <v>0</v>
      </c>
      <c r="AE95" s="66">
        <v>1</v>
      </c>
      <c r="AF95" s="91">
        <f t="shared" si="9"/>
        <v>0.7421203669467662</v>
      </c>
      <c r="AG95" s="234">
        <f t="shared" si="10"/>
        <v>560</v>
      </c>
    </row>
    <row r="96" spans="1:33" s="93" customFormat="1">
      <c r="A96" s="60">
        <f t="shared" si="11"/>
        <v>89</v>
      </c>
      <c r="B96" s="69">
        <v>17866</v>
      </c>
      <c r="C96" s="70" t="s">
        <v>101</v>
      </c>
      <c r="D96" s="70" t="s">
        <v>32</v>
      </c>
      <c r="E96" s="70" t="s">
        <v>315</v>
      </c>
      <c r="F96" s="83" t="s">
        <v>373</v>
      </c>
      <c r="G96" s="70"/>
      <c r="H96" s="70"/>
      <c r="I96" s="62" t="s">
        <v>360</v>
      </c>
      <c r="J96" s="71">
        <v>4</v>
      </c>
      <c r="K96" s="71">
        <v>4</v>
      </c>
      <c r="L96" s="71">
        <v>5</v>
      </c>
      <c r="M96" s="71">
        <v>5</v>
      </c>
      <c r="N96" s="71">
        <v>5</v>
      </c>
      <c r="O96" s="71">
        <v>5</v>
      </c>
      <c r="P96" s="71">
        <v>5</v>
      </c>
      <c r="Q96" s="71">
        <v>5</v>
      </c>
      <c r="R96" s="63">
        <f t="shared" si="6"/>
        <v>4.5</v>
      </c>
      <c r="S96" s="64">
        <f t="shared" si="7"/>
        <v>0.9</v>
      </c>
      <c r="T96" s="65" t="str">
        <f t="shared" si="8"/>
        <v>Grade-A</v>
      </c>
      <c r="U96" s="66">
        <f>IFERROR(VLOOKUP(F96,[3]Database!F:G,2,0),0)</f>
        <v>850</v>
      </c>
      <c r="V96" s="90">
        <v>0.74</v>
      </c>
      <c r="W96" s="91">
        <v>0.89694399005601633</v>
      </c>
      <c r="X96" s="89">
        <v>510</v>
      </c>
      <c r="Y96" s="90">
        <v>0</v>
      </c>
      <c r="Z96" s="91">
        <v>0.89694399005601633</v>
      </c>
      <c r="AA96" s="89">
        <v>0</v>
      </c>
      <c r="AB96" s="90">
        <v>0.42</v>
      </c>
      <c r="AC96" s="91">
        <v>0.89694399005601633</v>
      </c>
      <c r="AD96" s="89">
        <v>290</v>
      </c>
      <c r="AE96" s="66">
        <v>1</v>
      </c>
      <c r="AF96" s="91">
        <f t="shared" si="9"/>
        <v>0.7421203669467662</v>
      </c>
      <c r="AG96" s="234">
        <f t="shared" si="10"/>
        <v>570</v>
      </c>
    </row>
    <row r="97" spans="1:33" s="8" customFormat="1">
      <c r="A97" s="60">
        <f t="shared" si="11"/>
        <v>90</v>
      </c>
      <c r="B97" s="61">
        <v>17867</v>
      </c>
      <c r="C97" s="62" t="s">
        <v>102</v>
      </c>
      <c r="D97" s="62" t="s">
        <v>32</v>
      </c>
      <c r="E97" s="62" t="s">
        <v>315</v>
      </c>
      <c r="F97" s="36" t="s">
        <v>373</v>
      </c>
      <c r="G97" s="62"/>
      <c r="H97" s="62"/>
      <c r="I97" s="62" t="s">
        <v>360</v>
      </c>
      <c r="J97" s="77">
        <v>5</v>
      </c>
      <c r="K97" s="77">
        <v>5</v>
      </c>
      <c r="L97" s="77">
        <v>4</v>
      </c>
      <c r="M97" s="77">
        <v>5</v>
      </c>
      <c r="N97" s="77">
        <v>5</v>
      </c>
      <c r="O97" s="77">
        <v>4</v>
      </c>
      <c r="P97" s="77">
        <v>5</v>
      </c>
      <c r="Q97" s="77">
        <v>4</v>
      </c>
      <c r="R97" s="63">
        <f t="shared" si="6"/>
        <v>4.75</v>
      </c>
      <c r="S97" s="64">
        <f t="shared" si="7"/>
        <v>0.95</v>
      </c>
      <c r="T97" s="65" t="str">
        <f t="shared" si="8"/>
        <v>Grade-A</v>
      </c>
      <c r="U97" s="66">
        <f>IFERROR(VLOOKUP(F97,[3]Database!F:G,2,0),0)</f>
        <v>850</v>
      </c>
      <c r="V97" s="66">
        <v>1</v>
      </c>
      <c r="W97" s="84">
        <v>0.89694399005601633</v>
      </c>
      <c r="X97" s="89">
        <v>730</v>
      </c>
      <c r="Y97" s="66">
        <v>1</v>
      </c>
      <c r="Z97" s="84">
        <v>0.89694399005601633</v>
      </c>
      <c r="AA97" s="89">
        <v>730</v>
      </c>
      <c r="AB97" s="66">
        <v>1</v>
      </c>
      <c r="AC97" s="84">
        <v>0.89694399005601633</v>
      </c>
      <c r="AD97" s="89">
        <v>730</v>
      </c>
      <c r="AE97" s="66">
        <v>1</v>
      </c>
      <c r="AF97" s="84">
        <f t="shared" si="9"/>
        <v>0.7421203669467662</v>
      </c>
      <c r="AG97" s="234">
        <f t="shared" si="10"/>
        <v>600</v>
      </c>
    </row>
    <row r="98" spans="1:33">
      <c r="A98" s="60">
        <f t="shared" si="11"/>
        <v>91</v>
      </c>
      <c r="B98" s="290">
        <v>17879</v>
      </c>
      <c r="C98" s="291" t="s">
        <v>103</v>
      </c>
      <c r="D98" s="291" t="s">
        <v>32</v>
      </c>
      <c r="E98" s="291" t="s">
        <v>32</v>
      </c>
      <c r="F98" s="250" t="s">
        <v>665</v>
      </c>
      <c r="G98" s="291"/>
      <c r="H98" s="291"/>
      <c r="I98" s="291" t="s">
        <v>775</v>
      </c>
      <c r="J98" s="323">
        <v>5</v>
      </c>
      <c r="K98" s="323">
        <v>4</v>
      </c>
      <c r="L98" s="323">
        <v>4</v>
      </c>
      <c r="M98" s="323">
        <v>5</v>
      </c>
      <c r="N98" s="323">
        <v>5</v>
      </c>
      <c r="O98" s="323">
        <v>5</v>
      </c>
      <c r="P98" s="323">
        <v>5</v>
      </c>
      <c r="Q98" s="323">
        <v>5</v>
      </c>
      <c r="R98" s="292">
        <f t="shared" si="6"/>
        <v>4.6999999999999993</v>
      </c>
      <c r="S98" s="293">
        <f t="shared" si="7"/>
        <v>0.94</v>
      </c>
      <c r="T98" s="294" t="str">
        <f t="shared" si="8"/>
        <v>Grade-A</v>
      </c>
      <c r="U98" s="296">
        <f>IFERROR(VLOOKUP(F98,[3]Database!F:G,2,0),0)</f>
        <v>700</v>
      </c>
      <c r="V98" s="296">
        <v>1</v>
      </c>
      <c r="W98" s="297">
        <v>0.89694399005601633</v>
      </c>
      <c r="X98" s="326">
        <v>600</v>
      </c>
      <c r="Y98" s="296">
        <v>1</v>
      </c>
      <c r="Z98" s="297">
        <v>0.89694399005601633</v>
      </c>
      <c r="AA98" s="326">
        <v>600</v>
      </c>
      <c r="AB98" s="296">
        <v>1</v>
      </c>
      <c r="AC98" s="297">
        <v>0.89694399005601633</v>
      </c>
      <c r="AD98" s="326">
        <v>600</v>
      </c>
      <c r="AE98" s="296">
        <v>0.32</v>
      </c>
      <c r="AF98" s="297">
        <f t="shared" si="9"/>
        <v>0.7421203669467662</v>
      </c>
      <c r="AG98" s="327">
        <f t="shared" si="10"/>
        <v>160</v>
      </c>
    </row>
    <row r="99" spans="1:33">
      <c r="A99" s="60">
        <f t="shared" si="11"/>
        <v>92</v>
      </c>
      <c r="B99" s="61">
        <v>19821</v>
      </c>
      <c r="C99" s="62" t="s">
        <v>476</v>
      </c>
      <c r="D99" s="62" t="s">
        <v>32</v>
      </c>
      <c r="E99" s="62" t="s">
        <v>314</v>
      </c>
      <c r="F99" s="36" t="s">
        <v>372</v>
      </c>
      <c r="G99" s="62"/>
      <c r="H99" s="62"/>
      <c r="I99" s="62" t="s">
        <v>360</v>
      </c>
      <c r="J99" s="77">
        <v>5</v>
      </c>
      <c r="K99" s="77">
        <v>5</v>
      </c>
      <c r="L99" s="77">
        <v>4</v>
      </c>
      <c r="M99" s="77">
        <v>5</v>
      </c>
      <c r="N99" s="77">
        <v>5</v>
      </c>
      <c r="O99" s="77">
        <v>4</v>
      </c>
      <c r="P99" s="77">
        <v>5</v>
      </c>
      <c r="Q99" s="77">
        <v>4</v>
      </c>
      <c r="R99" s="63">
        <f t="shared" si="6"/>
        <v>4.75</v>
      </c>
      <c r="S99" s="64">
        <f t="shared" si="7"/>
        <v>0.95</v>
      </c>
      <c r="T99" s="65" t="str">
        <f t="shared" si="8"/>
        <v>Grade-A</v>
      </c>
      <c r="U99" s="66">
        <f>IFERROR(VLOOKUP(F99,[3]Database!F:G,2,0),0)</f>
        <v>800</v>
      </c>
      <c r="V99" s="66">
        <v>1</v>
      </c>
      <c r="W99" s="84">
        <v>0.89694399005601633</v>
      </c>
      <c r="X99" s="89">
        <v>690</v>
      </c>
      <c r="Y99" s="66">
        <v>1</v>
      </c>
      <c r="Z99" s="84">
        <v>0.89694399005601633</v>
      </c>
      <c r="AA99" s="89">
        <v>690</v>
      </c>
      <c r="AB99" s="66">
        <v>1</v>
      </c>
      <c r="AC99" s="84">
        <v>0.89694399005601633</v>
      </c>
      <c r="AD99" s="89">
        <v>690</v>
      </c>
      <c r="AE99" s="66">
        <v>1</v>
      </c>
      <c r="AF99" s="84">
        <f t="shared" si="9"/>
        <v>0.7421203669467662</v>
      </c>
      <c r="AG99" s="234">
        <f t="shared" si="10"/>
        <v>570</v>
      </c>
    </row>
    <row r="100" spans="1:33">
      <c r="A100" s="60">
        <f t="shared" si="11"/>
        <v>93</v>
      </c>
      <c r="B100" s="61">
        <v>19824</v>
      </c>
      <c r="C100" s="62" t="s">
        <v>477</v>
      </c>
      <c r="D100" s="62" t="s">
        <v>32</v>
      </c>
      <c r="E100" s="62" t="s">
        <v>314</v>
      </c>
      <c r="F100" s="36" t="s">
        <v>372</v>
      </c>
      <c r="G100" s="62"/>
      <c r="H100" s="62"/>
      <c r="I100" s="62" t="s">
        <v>360</v>
      </c>
      <c r="J100" s="77">
        <v>5</v>
      </c>
      <c r="K100" s="77">
        <v>4</v>
      </c>
      <c r="L100" s="77">
        <v>5</v>
      </c>
      <c r="M100" s="77">
        <v>5</v>
      </c>
      <c r="N100" s="77">
        <v>5</v>
      </c>
      <c r="O100" s="77">
        <v>5</v>
      </c>
      <c r="P100" s="77">
        <v>5</v>
      </c>
      <c r="Q100" s="77">
        <v>4</v>
      </c>
      <c r="R100" s="63">
        <f t="shared" si="6"/>
        <v>4.75</v>
      </c>
      <c r="S100" s="64">
        <f t="shared" si="7"/>
        <v>0.95</v>
      </c>
      <c r="T100" s="65" t="str">
        <f t="shared" si="8"/>
        <v>Grade-A</v>
      </c>
      <c r="U100" s="66">
        <f>IFERROR(VLOOKUP(F100,[3]Database!F:G,2,0),0)</f>
        <v>800</v>
      </c>
      <c r="V100" s="66">
        <v>1</v>
      </c>
      <c r="W100" s="84">
        <v>0.89694399005601633</v>
      </c>
      <c r="X100" s="89">
        <v>690</v>
      </c>
      <c r="Y100" s="66">
        <v>1</v>
      </c>
      <c r="Z100" s="84">
        <v>0.89694399005601633</v>
      </c>
      <c r="AA100" s="89">
        <v>690</v>
      </c>
      <c r="AB100" s="66">
        <v>1</v>
      </c>
      <c r="AC100" s="84">
        <v>0.89694399005601633</v>
      </c>
      <c r="AD100" s="89">
        <v>690</v>
      </c>
      <c r="AE100" s="66">
        <v>1</v>
      </c>
      <c r="AF100" s="84">
        <f t="shared" si="9"/>
        <v>0.7421203669467662</v>
      </c>
      <c r="AG100" s="234">
        <f t="shared" si="10"/>
        <v>570</v>
      </c>
    </row>
    <row r="101" spans="1:33">
      <c r="A101" s="60">
        <f t="shared" si="11"/>
        <v>94</v>
      </c>
      <c r="B101" s="61">
        <v>15707</v>
      </c>
      <c r="C101" s="62" t="s">
        <v>104</v>
      </c>
      <c r="D101" s="62" t="s">
        <v>32</v>
      </c>
      <c r="E101" s="62" t="s">
        <v>32</v>
      </c>
      <c r="F101" s="36" t="s">
        <v>665</v>
      </c>
      <c r="G101" s="62"/>
      <c r="H101" s="62"/>
      <c r="I101" s="62" t="s">
        <v>360</v>
      </c>
      <c r="J101" s="77">
        <v>5</v>
      </c>
      <c r="K101" s="77">
        <v>4</v>
      </c>
      <c r="L101" s="77">
        <v>4</v>
      </c>
      <c r="M101" s="77">
        <v>4</v>
      </c>
      <c r="N101" s="77">
        <v>4</v>
      </c>
      <c r="O101" s="77">
        <v>5</v>
      </c>
      <c r="P101" s="77">
        <v>4</v>
      </c>
      <c r="Q101" s="77">
        <v>5</v>
      </c>
      <c r="R101" s="63">
        <f t="shared" si="6"/>
        <v>4.4499999999999993</v>
      </c>
      <c r="S101" s="64">
        <f t="shared" si="7"/>
        <v>0.8899999999999999</v>
      </c>
      <c r="T101" s="65" t="str">
        <f t="shared" si="8"/>
        <v>Grade-B</v>
      </c>
      <c r="U101" s="66">
        <f>IFERROR(VLOOKUP(F101,[3]Database!F:G,2,0),0)</f>
        <v>700</v>
      </c>
      <c r="V101" s="66">
        <v>1</v>
      </c>
      <c r="W101" s="84">
        <v>0.89694399005601633</v>
      </c>
      <c r="X101" s="89">
        <v>560</v>
      </c>
      <c r="Y101" s="66">
        <v>1</v>
      </c>
      <c r="Z101" s="84">
        <v>0.89694399005601633</v>
      </c>
      <c r="AA101" s="89">
        <v>560</v>
      </c>
      <c r="AB101" s="66">
        <v>0.68</v>
      </c>
      <c r="AC101" s="84">
        <v>0.89694399005601633</v>
      </c>
      <c r="AD101" s="89">
        <v>380</v>
      </c>
      <c r="AE101" s="66">
        <v>1</v>
      </c>
      <c r="AF101" s="84">
        <f t="shared" si="9"/>
        <v>0.7421203669467662</v>
      </c>
      <c r="AG101" s="234">
        <f t="shared" si="10"/>
        <v>470</v>
      </c>
    </row>
    <row r="102" spans="1:33">
      <c r="A102" s="60">
        <f t="shared" si="11"/>
        <v>95</v>
      </c>
      <c r="B102" s="61">
        <v>23240</v>
      </c>
      <c r="C102" s="62" t="s">
        <v>478</v>
      </c>
      <c r="D102" s="62" t="s">
        <v>166</v>
      </c>
      <c r="E102" s="62" t="s">
        <v>315</v>
      </c>
      <c r="F102" s="36" t="s">
        <v>373</v>
      </c>
      <c r="G102" s="62"/>
      <c r="H102" s="62"/>
      <c r="I102" s="62" t="s">
        <v>360</v>
      </c>
      <c r="J102" s="77">
        <v>5</v>
      </c>
      <c r="K102" s="77">
        <v>5</v>
      </c>
      <c r="L102" s="77">
        <v>4</v>
      </c>
      <c r="M102" s="77">
        <v>4</v>
      </c>
      <c r="N102" s="77">
        <v>5</v>
      </c>
      <c r="O102" s="77">
        <v>5</v>
      </c>
      <c r="P102" s="77">
        <v>5</v>
      </c>
      <c r="Q102" s="77">
        <v>4</v>
      </c>
      <c r="R102" s="63">
        <f t="shared" si="6"/>
        <v>4.75</v>
      </c>
      <c r="S102" s="64">
        <f t="shared" si="7"/>
        <v>0.95</v>
      </c>
      <c r="T102" s="65" t="str">
        <f t="shared" si="8"/>
        <v>Grade-A</v>
      </c>
      <c r="U102" s="66">
        <f>IFERROR(VLOOKUP(F102,[3]Database!F:G,2,0),0)</f>
        <v>850</v>
      </c>
      <c r="V102" s="66">
        <v>1</v>
      </c>
      <c r="W102" s="84">
        <v>0.89694399005601633</v>
      </c>
      <c r="X102" s="89">
        <v>730</v>
      </c>
      <c r="Y102" s="66">
        <v>1</v>
      </c>
      <c r="Z102" s="84">
        <v>0.89694399005601633</v>
      </c>
      <c r="AA102" s="89">
        <v>730</v>
      </c>
      <c r="AB102" s="66">
        <v>1</v>
      </c>
      <c r="AC102" s="84">
        <v>0.89694399005601633</v>
      </c>
      <c r="AD102" s="89">
        <v>730</v>
      </c>
      <c r="AE102" s="66">
        <v>1</v>
      </c>
      <c r="AF102" s="84">
        <f t="shared" si="9"/>
        <v>0.7421203669467662</v>
      </c>
      <c r="AG102" s="234">
        <f t="shared" si="10"/>
        <v>600</v>
      </c>
    </row>
    <row r="103" spans="1:33">
      <c r="A103" s="60">
        <f t="shared" si="11"/>
        <v>96</v>
      </c>
      <c r="B103" s="61">
        <v>3907</v>
      </c>
      <c r="C103" s="62" t="s">
        <v>105</v>
      </c>
      <c r="D103" s="62" t="s">
        <v>65</v>
      </c>
      <c r="E103" s="62" t="s">
        <v>314</v>
      </c>
      <c r="F103" s="36" t="s">
        <v>372</v>
      </c>
      <c r="G103" s="62"/>
      <c r="H103" s="62"/>
      <c r="I103" s="62" t="s">
        <v>360</v>
      </c>
      <c r="J103" s="77">
        <v>5</v>
      </c>
      <c r="K103" s="77">
        <v>5</v>
      </c>
      <c r="L103" s="77">
        <v>4</v>
      </c>
      <c r="M103" s="77">
        <v>4</v>
      </c>
      <c r="N103" s="77">
        <v>5</v>
      </c>
      <c r="O103" s="77">
        <v>5</v>
      </c>
      <c r="P103" s="77">
        <v>5</v>
      </c>
      <c r="Q103" s="77">
        <v>4</v>
      </c>
      <c r="R103" s="63">
        <f t="shared" si="6"/>
        <v>4.75</v>
      </c>
      <c r="S103" s="64">
        <f t="shared" si="7"/>
        <v>0.95</v>
      </c>
      <c r="T103" s="65" t="str">
        <f t="shared" si="8"/>
        <v>Grade-A</v>
      </c>
      <c r="U103" s="66">
        <f>IFERROR(VLOOKUP(F103,[3]Database!F:G,2,0),0)</f>
        <v>800</v>
      </c>
      <c r="V103" s="66">
        <v>1</v>
      </c>
      <c r="W103" s="84">
        <v>0.89694399005601633</v>
      </c>
      <c r="X103" s="87">
        <v>690</v>
      </c>
      <c r="Y103" s="66">
        <v>1</v>
      </c>
      <c r="Z103" s="84">
        <v>0.89694399005601633</v>
      </c>
      <c r="AA103" s="87">
        <v>690</v>
      </c>
      <c r="AB103" s="66">
        <v>1</v>
      </c>
      <c r="AC103" s="84">
        <v>0.89694399005601633</v>
      </c>
      <c r="AD103" s="87">
        <v>650</v>
      </c>
      <c r="AE103" s="66">
        <v>1</v>
      </c>
      <c r="AF103" s="84">
        <f t="shared" si="9"/>
        <v>0.7421203669467662</v>
      </c>
      <c r="AG103" s="235">
        <f t="shared" si="10"/>
        <v>570</v>
      </c>
    </row>
    <row r="104" spans="1:33">
      <c r="A104" s="60">
        <f t="shared" si="11"/>
        <v>97</v>
      </c>
      <c r="B104" s="61">
        <v>25552</v>
      </c>
      <c r="C104" s="62" t="s">
        <v>613</v>
      </c>
      <c r="D104" s="62" t="s">
        <v>65</v>
      </c>
      <c r="E104" s="62" t="s">
        <v>314</v>
      </c>
      <c r="F104" s="36" t="s">
        <v>372</v>
      </c>
      <c r="G104" s="62"/>
      <c r="H104" s="62"/>
      <c r="I104" s="62" t="s">
        <v>360</v>
      </c>
      <c r="J104" s="77">
        <v>5</v>
      </c>
      <c r="K104" s="77">
        <v>5</v>
      </c>
      <c r="L104" s="77">
        <v>5</v>
      </c>
      <c r="M104" s="77">
        <v>4</v>
      </c>
      <c r="N104" s="77">
        <v>4</v>
      </c>
      <c r="O104" s="77">
        <v>5</v>
      </c>
      <c r="P104" s="77">
        <v>5</v>
      </c>
      <c r="Q104" s="77">
        <v>4</v>
      </c>
      <c r="R104" s="63">
        <f t="shared" si="6"/>
        <v>4.75</v>
      </c>
      <c r="S104" s="64">
        <f t="shared" si="7"/>
        <v>0.95</v>
      </c>
      <c r="T104" s="65" t="str">
        <f t="shared" si="8"/>
        <v>Grade-A</v>
      </c>
      <c r="U104" s="66">
        <f>IFERROR(VLOOKUP(F104,[3]Database!F:G,2,0),0)</f>
        <v>800</v>
      </c>
      <c r="V104" s="66">
        <v>1</v>
      </c>
      <c r="W104" s="84">
        <v>0.89694399005601633</v>
      </c>
      <c r="X104" s="89">
        <v>690</v>
      </c>
      <c r="Y104" s="66">
        <v>1</v>
      </c>
      <c r="Z104" s="84">
        <v>0.89694399005601633</v>
      </c>
      <c r="AA104" s="89">
        <v>690</v>
      </c>
      <c r="AB104" s="66">
        <v>1</v>
      </c>
      <c r="AC104" s="84">
        <v>0.89694399005601633</v>
      </c>
      <c r="AD104" s="89">
        <v>690</v>
      </c>
      <c r="AE104" s="66">
        <v>1</v>
      </c>
      <c r="AF104" s="84">
        <f t="shared" si="9"/>
        <v>0.7421203669467662</v>
      </c>
      <c r="AG104" s="234">
        <f t="shared" si="10"/>
        <v>570</v>
      </c>
    </row>
    <row r="105" spans="1:33" s="8" customFormat="1">
      <c r="A105" s="60">
        <f t="shared" si="11"/>
        <v>98</v>
      </c>
      <c r="B105" s="61">
        <v>17211</v>
      </c>
      <c r="C105" s="62" t="s">
        <v>481</v>
      </c>
      <c r="D105" s="62" t="s">
        <v>65</v>
      </c>
      <c r="E105" s="62" t="s">
        <v>314</v>
      </c>
      <c r="F105" s="36" t="s">
        <v>372</v>
      </c>
      <c r="G105" s="62"/>
      <c r="H105" s="62"/>
      <c r="I105" s="62" t="s">
        <v>360</v>
      </c>
      <c r="J105" s="77">
        <v>5</v>
      </c>
      <c r="K105" s="77">
        <v>4</v>
      </c>
      <c r="L105" s="77">
        <v>4</v>
      </c>
      <c r="M105" s="77">
        <v>5</v>
      </c>
      <c r="N105" s="77">
        <v>5</v>
      </c>
      <c r="O105" s="77">
        <v>5</v>
      </c>
      <c r="P105" s="77">
        <v>4</v>
      </c>
      <c r="Q105" s="77">
        <v>5</v>
      </c>
      <c r="R105" s="63">
        <f t="shared" si="6"/>
        <v>4.6499999999999995</v>
      </c>
      <c r="S105" s="64">
        <f t="shared" si="7"/>
        <v>0.92999999999999994</v>
      </c>
      <c r="T105" s="65" t="str">
        <f t="shared" si="8"/>
        <v>Grade-A</v>
      </c>
      <c r="U105" s="66">
        <f>IFERROR(VLOOKUP(F105,[3]Database!F:G,2,0),0)</f>
        <v>800</v>
      </c>
      <c r="V105" s="66">
        <v>1</v>
      </c>
      <c r="W105" s="84">
        <v>0.89694399005601633</v>
      </c>
      <c r="X105" s="87">
        <v>650</v>
      </c>
      <c r="Y105" s="66">
        <v>1</v>
      </c>
      <c r="Z105" s="84">
        <v>0.89694399005601633</v>
      </c>
      <c r="AA105" s="87">
        <v>650</v>
      </c>
      <c r="AB105" s="66">
        <v>1</v>
      </c>
      <c r="AC105" s="84">
        <v>0.89694399005601633</v>
      </c>
      <c r="AD105" s="87">
        <v>650</v>
      </c>
      <c r="AE105" s="66">
        <v>1</v>
      </c>
      <c r="AF105" s="84">
        <f t="shared" si="9"/>
        <v>0.7421203669467662</v>
      </c>
      <c r="AG105" s="235">
        <f t="shared" si="10"/>
        <v>560</v>
      </c>
    </row>
    <row r="106" spans="1:33">
      <c r="A106" s="60">
        <f t="shared" si="11"/>
        <v>99</v>
      </c>
      <c r="B106" s="61">
        <v>17744</v>
      </c>
      <c r="C106" s="62" t="s">
        <v>482</v>
      </c>
      <c r="D106" s="62" t="s">
        <v>32</v>
      </c>
      <c r="E106" s="62" t="s">
        <v>314</v>
      </c>
      <c r="F106" s="36" t="s">
        <v>372</v>
      </c>
      <c r="G106" s="62"/>
      <c r="H106" s="62"/>
      <c r="I106" s="62" t="s">
        <v>360</v>
      </c>
      <c r="J106" s="77">
        <v>5</v>
      </c>
      <c r="K106" s="77">
        <v>4</v>
      </c>
      <c r="L106" s="77">
        <v>4</v>
      </c>
      <c r="M106" s="77">
        <v>4</v>
      </c>
      <c r="N106" s="77">
        <v>4</v>
      </c>
      <c r="O106" s="77">
        <v>5</v>
      </c>
      <c r="P106" s="77">
        <v>5</v>
      </c>
      <c r="Q106" s="77">
        <v>5</v>
      </c>
      <c r="R106" s="63">
        <f t="shared" si="6"/>
        <v>4.5</v>
      </c>
      <c r="S106" s="64">
        <f t="shared" si="7"/>
        <v>0.89999999999999991</v>
      </c>
      <c r="T106" s="65" t="str">
        <f t="shared" si="8"/>
        <v>Grade-A</v>
      </c>
      <c r="U106" s="66">
        <f>IFERROR(VLOOKUP(F106,[3]Database!F:G,2,0),0)</f>
        <v>800</v>
      </c>
      <c r="V106" s="66">
        <v>1</v>
      </c>
      <c r="W106" s="84">
        <v>0.89694399005601633</v>
      </c>
      <c r="X106" s="87">
        <v>650</v>
      </c>
      <c r="Y106" s="66">
        <v>1</v>
      </c>
      <c r="Z106" s="84">
        <v>0.89694399005601633</v>
      </c>
      <c r="AA106" s="87">
        <v>650</v>
      </c>
      <c r="AB106" s="66">
        <v>1</v>
      </c>
      <c r="AC106" s="84">
        <v>0.89694399005601633</v>
      </c>
      <c r="AD106" s="87">
        <v>507</v>
      </c>
      <c r="AE106" s="66">
        <v>1</v>
      </c>
      <c r="AF106" s="84">
        <f t="shared" si="9"/>
        <v>0.7421203669467662</v>
      </c>
      <c r="AG106" s="235">
        <f t="shared" si="10"/>
        <v>540</v>
      </c>
    </row>
    <row r="107" spans="1:33" s="8" customFormat="1">
      <c r="A107" s="60">
        <f t="shared" si="11"/>
        <v>100</v>
      </c>
      <c r="B107" s="69">
        <v>2694</v>
      </c>
      <c r="C107" s="70" t="s">
        <v>106</v>
      </c>
      <c r="D107" s="70" t="s">
        <v>167</v>
      </c>
      <c r="E107" s="70" t="s">
        <v>316</v>
      </c>
      <c r="F107" s="83" t="s">
        <v>365</v>
      </c>
      <c r="G107" s="70"/>
      <c r="H107" s="70"/>
      <c r="I107" s="62" t="s">
        <v>360</v>
      </c>
      <c r="J107" s="71">
        <v>5</v>
      </c>
      <c r="K107" s="71">
        <v>5</v>
      </c>
      <c r="L107" s="71">
        <v>4</v>
      </c>
      <c r="M107" s="71">
        <v>5</v>
      </c>
      <c r="N107" s="71">
        <v>5</v>
      </c>
      <c r="O107" s="71">
        <v>4</v>
      </c>
      <c r="P107" s="71">
        <v>5</v>
      </c>
      <c r="Q107" s="71">
        <v>5</v>
      </c>
      <c r="R107" s="63">
        <f t="shared" si="6"/>
        <v>4.8</v>
      </c>
      <c r="S107" s="64">
        <f t="shared" si="7"/>
        <v>0.96</v>
      </c>
      <c r="T107" s="65" t="str">
        <f t="shared" si="8"/>
        <v>Grade-A</v>
      </c>
      <c r="U107" s="66">
        <f>IFERROR(VLOOKUP(F107,[3]Database!F:G,2,0),0)</f>
        <v>1700</v>
      </c>
      <c r="V107" s="90">
        <v>1</v>
      </c>
      <c r="W107" s="91">
        <v>0.89694399005601633</v>
      </c>
      <c r="X107" s="89">
        <v>1440</v>
      </c>
      <c r="Y107" s="90">
        <v>1</v>
      </c>
      <c r="Z107" s="91">
        <v>0.89694399005601633</v>
      </c>
      <c r="AA107" s="89">
        <v>1440</v>
      </c>
      <c r="AB107" s="90">
        <v>0.1</v>
      </c>
      <c r="AC107" s="91">
        <v>0.89694399005601633</v>
      </c>
      <c r="AD107" s="89">
        <v>150</v>
      </c>
      <c r="AE107" s="66">
        <v>1</v>
      </c>
      <c r="AF107" s="91">
        <f t="shared" si="9"/>
        <v>0.7421203669467662</v>
      </c>
      <c r="AG107" s="234">
        <f t="shared" si="10"/>
        <v>1220</v>
      </c>
    </row>
    <row r="108" spans="1:33">
      <c r="A108" s="60">
        <f t="shared" si="11"/>
        <v>101</v>
      </c>
      <c r="B108" s="61">
        <v>5576</v>
      </c>
      <c r="C108" s="62" t="s">
        <v>107</v>
      </c>
      <c r="D108" s="62" t="s">
        <v>167</v>
      </c>
      <c r="E108" s="62" t="s">
        <v>316</v>
      </c>
      <c r="F108" s="36" t="s">
        <v>366</v>
      </c>
      <c r="G108" s="62"/>
      <c r="H108" s="62"/>
      <c r="I108" s="62" t="s">
        <v>360</v>
      </c>
      <c r="J108" s="77">
        <v>5</v>
      </c>
      <c r="K108" s="77">
        <v>5</v>
      </c>
      <c r="L108" s="77">
        <v>4</v>
      </c>
      <c r="M108" s="77">
        <v>5</v>
      </c>
      <c r="N108" s="77">
        <v>5</v>
      </c>
      <c r="O108" s="77">
        <v>4</v>
      </c>
      <c r="P108" s="77">
        <v>5</v>
      </c>
      <c r="Q108" s="77">
        <v>5</v>
      </c>
      <c r="R108" s="63">
        <f t="shared" si="6"/>
        <v>4.8</v>
      </c>
      <c r="S108" s="64">
        <f t="shared" si="7"/>
        <v>0.96</v>
      </c>
      <c r="T108" s="65" t="str">
        <f t="shared" si="8"/>
        <v>Grade-A</v>
      </c>
      <c r="U108" s="66">
        <f>IFERROR(VLOOKUP(F108,[3]Database!F:G,2,0),0)</f>
        <v>1300</v>
      </c>
      <c r="V108" s="66">
        <v>1</v>
      </c>
      <c r="W108" s="84">
        <v>0.89694399005601633</v>
      </c>
      <c r="X108" s="89">
        <v>1120</v>
      </c>
      <c r="Y108" s="66">
        <v>1</v>
      </c>
      <c r="Z108" s="84">
        <v>0.89694399005601633</v>
      </c>
      <c r="AA108" s="89">
        <v>1120</v>
      </c>
      <c r="AB108" s="66">
        <v>1</v>
      </c>
      <c r="AC108" s="84">
        <v>0.89694399005601633</v>
      </c>
      <c r="AD108" s="89">
        <v>1120</v>
      </c>
      <c r="AE108" s="66">
        <v>1</v>
      </c>
      <c r="AF108" s="84">
        <f t="shared" si="9"/>
        <v>0.7421203669467662</v>
      </c>
      <c r="AG108" s="234">
        <f t="shared" si="10"/>
        <v>930</v>
      </c>
    </row>
    <row r="109" spans="1:33">
      <c r="A109" s="60">
        <f t="shared" si="11"/>
        <v>102</v>
      </c>
      <c r="B109" s="69">
        <v>4698</v>
      </c>
      <c r="C109" s="70" t="s">
        <v>108</v>
      </c>
      <c r="D109" s="70" t="s">
        <v>65</v>
      </c>
      <c r="E109" s="70" t="s">
        <v>314</v>
      </c>
      <c r="F109" s="83" t="s">
        <v>372</v>
      </c>
      <c r="G109" s="70"/>
      <c r="H109" s="70"/>
      <c r="I109" s="62" t="s">
        <v>360</v>
      </c>
      <c r="J109" s="71">
        <v>5</v>
      </c>
      <c r="K109" s="71">
        <v>5</v>
      </c>
      <c r="L109" s="71">
        <v>4</v>
      </c>
      <c r="M109" s="71">
        <v>4</v>
      </c>
      <c r="N109" s="71">
        <v>5</v>
      </c>
      <c r="O109" s="71">
        <v>5</v>
      </c>
      <c r="P109" s="71">
        <v>5</v>
      </c>
      <c r="Q109" s="71">
        <v>5</v>
      </c>
      <c r="R109" s="63">
        <f t="shared" si="6"/>
        <v>4.8</v>
      </c>
      <c r="S109" s="64">
        <f t="shared" si="7"/>
        <v>0.96</v>
      </c>
      <c r="T109" s="65" t="str">
        <f t="shared" si="8"/>
        <v>Grade-A</v>
      </c>
      <c r="U109" s="66">
        <f>IFERROR(VLOOKUP(F109,[3]Database!F:G,2,0),0)</f>
        <v>800</v>
      </c>
      <c r="V109" s="90">
        <v>1</v>
      </c>
      <c r="W109" s="91">
        <v>0.89694399005601633</v>
      </c>
      <c r="X109" s="89">
        <v>650</v>
      </c>
      <c r="Y109" s="90">
        <v>1</v>
      </c>
      <c r="Z109" s="91">
        <v>0.89694399005601633</v>
      </c>
      <c r="AA109" s="89">
        <v>650</v>
      </c>
      <c r="AB109" s="90">
        <v>0</v>
      </c>
      <c r="AC109" s="91">
        <v>0.89694399005601633</v>
      </c>
      <c r="AD109" s="89">
        <v>0</v>
      </c>
      <c r="AE109" s="90">
        <v>1</v>
      </c>
      <c r="AF109" s="91">
        <f t="shared" si="9"/>
        <v>0.7421203669467662</v>
      </c>
      <c r="AG109" s="234">
        <f t="shared" si="10"/>
        <v>570</v>
      </c>
    </row>
    <row r="110" spans="1:33">
      <c r="A110" s="60">
        <f t="shared" si="11"/>
        <v>103</v>
      </c>
      <c r="B110" s="61">
        <v>3468</v>
      </c>
      <c r="C110" s="62" t="s">
        <v>109</v>
      </c>
      <c r="D110" s="62" t="s">
        <v>167</v>
      </c>
      <c r="E110" s="62" t="s">
        <v>167</v>
      </c>
      <c r="F110" s="36" t="s">
        <v>386</v>
      </c>
      <c r="G110" s="62"/>
      <c r="H110" s="62"/>
      <c r="I110" s="62" t="s">
        <v>360</v>
      </c>
      <c r="J110" s="77">
        <v>5</v>
      </c>
      <c r="K110" s="77">
        <v>4</v>
      </c>
      <c r="L110" s="77">
        <v>5</v>
      </c>
      <c r="M110" s="77">
        <v>5</v>
      </c>
      <c r="N110" s="77">
        <v>5</v>
      </c>
      <c r="O110" s="77">
        <v>5</v>
      </c>
      <c r="P110" s="77">
        <v>5</v>
      </c>
      <c r="Q110" s="77">
        <v>5</v>
      </c>
      <c r="R110" s="63">
        <f t="shared" si="6"/>
        <v>4.8</v>
      </c>
      <c r="S110" s="64">
        <f t="shared" si="7"/>
        <v>0.96</v>
      </c>
      <c r="T110" s="65" t="str">
        <f t="shared" si="8"/>
        <v>Grade-A</v>
      </c>
      <c r="U110" s="66">
        <f>IFERROR(VLOOKUP(F110,[3]Database!F:G,2,0),0)</f>
        <v>900</v>
      </c>
      <c r="V110" s="66">
        <v>1</v>
      </c>
      <c r="W110" s="84">
        <v>0.89694399005601633</v>
      </c>
      <c r="X110" s="87">
        <v>760</v>
      </c>
      <c r="Y110" s="66">
        <v>0.97</v>
      </c>
      <c r="Z110" s="84">
        <v>0.89694399005601633</v>
      </c>
      <c r="AA110" s="87">
        <v>740</v>
      </c>
      <c r="AB110" s="66">
        <v>1</v>
      </c>
      <c r="AC110" s="84">
        <v>0.89694399005601633</v>
      </c>
      <c r="AD110" s="87">
        <v>810</v>
      </c>
      <c r="AE110" s="66">
        <v>1</v>
      </c>
      <c r="AF110" s="84">
        <f t="shared" si="9"/>
        <v>0.7421203669467662</v>
      </c>
      <c r="AG110" s="235">
        <f t="shared" si="10"/>
        <v>650</v>
      </c>
    </row>
    <row r="111" spans="1:33">
      <c r="A111" s="60">
        <f t="shared" si="11"/>
        <v>104</v>
      </c>
      <c r="B111" s="61">
        <v>8198</v>
      </c>
      <c r="C111" s="62" t="s">
        <v>110</v>
      </c>
      <c r="D111" s="62" t="s">
        <v>65</v>
      </c>
      <c r="E111" s="62" t="s">
        <v>314</v>
      </c>
      <c r="F111" s="36" t="s">
        <v>372</v>
      </c>
      <c r="G111" s="62"/>
      <c r="H111" s="62"/>
      <c r="I111" s="62" t="s">
        <v>360</v>
      </c>
      <c r="J111" s="77">
        <v>5</v>
      </c>
      <c r="K111" s="77">
        <v>5</v>
      </c>
      <c r="L111" s="77">
        <v>5</v>
      </c>
      <c r="M111" s="77">
        <v>4</v>
      </c>
      <c r="N111" s="77">
        <v>5</v>
      </c>
      <c r="O111" s="77">
        <v>4</v>
      </c>
      <c r="P111" s="77">
        <v>4</v>
      </c>
      <c r="Q111" s="77">
        <v>5</v>
      </c>
      <c r="R111" s="63">
        <f t="shared" si="6"/>
        <v>4.75</v>
      </c>
      <c r="S111" s="64">
        <f t="shared" si="7"/>
        <v>0.95</v>
      </c>
      <c r="T111" s="65" t="str">
        <f t="shared" si="8"/>
        <v>Grade-A</v>
      </c>
      <c r="U111" s="66">
        <f>IFERROR(VLOOKUP(F111,[3]Database!F:G,2,0),0)</f>
        <v>800</v>
      </c>
      <c r="V111" s="66">
        <v>1</v>
      </c>
      <c r="W111" s="84">
        <v>0.89694399005601633</v>
      </c>
      <c r="X111" s="87">
        <v>580</v>
      </c>
      <c r="Y111" s="66">
        <v>1</v>
      </c>
      <c r="Z111" s="84">
        <v>0.89694399005601633</v>
      </c>
      <c r="AA111" s="87">
        <v>580</v>
      </c>
      <c r="AB111" s="66">
        <v>1</v>
      </c>
      <c r="AC111" s="84">
        <v>0.89694399005601633</v>
      </c>
      <c r="AD111" s="87">
        <v>580</v>
      </c>
      <c r="AE111" s="66">
        <v>1</v>
      </c>
      <c r="AF111" s="84">
        <f t="shared" si="9"/>
        <v>0.7421203669467662</v>
      </c>
      <c r="AG111" s="235">
        <f t="shared" si="10"/>
        <v>570</v>
      </c>
    </row>
    <row r="112" spans="1:33" s="8" customFormat="1">
      <c r="A112" s="60">
        <f t="shared" si="11"/>
        <v>105</v>
      </c>
      <c r="B112" s="61">
        <v>19036</v>
      </c>
      <c r="C112" s="62" t="s">
        <v>483</v>
      </c>
      <c r="D112" s="62" t="s">
        <v>32</v>
      </c>
      <c r="E112" s="62" t="s">
        <v>314</v>
      </c>
      <c r="F112" s="36" t="s">
        <v>372</v>
      </c>
      <c r="G112" s="62"/>
      <c r="H112" s="62"/>
      <c r="I112" s="62" t="s">
        <v>360</v>
      </c>
      <c r="J112" s="77">
        <v>4</v>
      </c>
      <c r="K112" s="77">
        <v>5</v>
      </c>
      <c r="L112" s="77">
        <v>5</v>
      </c>
      <c r="M112" s="77">
        <v>5</v>
      </c>
      <c r="N112" s="77">
        <v>5</v>
      </c>
      <c r="O112" s="77">
        <v>5</v>
      </c>
      <c r="P112" s="77">
        <v>5</v>
      </c>
      <c r="Q112" s="77">
        <v>5</v>
      </c>
      <c r="R112" s="63">
        <f t="shared" si="6"/>
        <v>4.7</v>
      </c>
      <c r="S112" s="64">
        <f t="shared" si="7"/>
        <v>0.94000000000000006</v>
      </c>
      <c r="T112" s="65" t="str">
        <f t="shared" si="8"/>
        <v>Grade-A</v>
      </c>
      <c r="U112" s="66">
        <f>IFERROR(VLOOKUP(F112,[3]Database!F:G,2,0),0)</f>
        <v>800</v>
      </c>
      <c r="V112" s="66">
        <v>1</v>
      </c>
      <c r="W112" s="84">
        <v>0.89694399005601633</v>
      </c>
      <c r="X112" s="87">
        <v>640</v>
      </c>
      <c r="Y112" s="66">
        <v>1</v>
      </c>
      <c r="Z112" s="84">
        <v>0.89694399005601633</v>
      </c>
      <c r="AA112" s="87">
        <v>640</v>
      </c>
      <c r="AB112" s="66">
        <v>1</v>
      </c>
      <c r="AC112" s="84">
        <v>0.89694399005601633</v>
      </c>
      <c r="AD112" s="87">
        <v>640</v>
      </c>
      <c r="AE112" s="66">
        <v>1</v>
      </c>
      <c r="AF112" s="84">
        <f t="shared" si="9"/>
        <v>0.7421203669467662</v>
      </c>
      <c r="AG112" s="235">
        <f t="shared" si="10"/>
        <v>560</v>
      </c>
    </row>
    <row r="113" spans="1:33" s="92" customFormat="1">
      <c r="A113" s="60">
        <f t="shared" si="11"/>
        <v>106</v>
      </c>
      <c r="B113" s="69">
        <v>5156</v>
      </c>
      <c r="C113" s="70" t="s">
        <v>111</v>
      </c>
      <c r="D113" s="70" t="s">
        <v>32</v>
      </c>
      <c r="E113" s="70" t="s">
        <v>314</v>
      </c>
      <c r="F113" s="83" t="s">
        <v>372</v>
      </c>
      <c r="G113" s="70"/>
      <c r="H113" s="70"/>
      <c r="I113" s="62" t="s">
        <v>360</v>
      </c>
      <c r="J113" s="71">
        <v>5</v>
      </c>
      <c r="K113" s="71">
        <v>4</v>
      </c>
      <c r="L113" s="71">
        <v>5</v>
      </c>
      <c r="M113" s="71">
        <v>5</v>
      </c>
      <c r="N113" s="71">
        <v>5</v>
      </c>
      <c r="O113" s="71">
        <v>5</v>
      </c>
      <c r="P113" s="71">
        <v>5</v>
      </c>
      <c r="Q113" s="71">
        <v>4</v>
      </c>
      <c r="R113" s="63">
        <f t="shared" si="6"/>
        <v>4.75</v>
      </c>
      <c r="S113" s="64">
        <f t="shared" si="7"/>
        <v>0.95</v>
      </c>
      <c r="T113" s="65" t="str">
        <f t="shared" si="8"/>
        <v>Grade-A</v>
      </c>
      <c r="U113" s="66">
        <f>IFERROR(VLOOKUP(F113,[3]Database!F:G,2,0),0)</f>
        <v>800</v>
      </c>
      <c r="V113" s="90">
        <v>0.37</v>
      </c>
      <c r="W113" s="91">
        <v>0.89694399005601633</v>
      </c>
      <c r="X113" s="89">
        <v>250</v>
      </c>
      <c r="Y113" s="90">
        <v>1</v>
      </c>
      <c r="Z113" s="91">
        <v>0.89694399005601633</v>
      </c>
      <c r="AA113" s="89">
        <v>680</v>
      </c>
      <c r="AB113" s="90">
        <v>1</v>
      </c>
      <c r="AC113" s="91">
        <v>0.89694399005601633</v>
      </c>
      <c r="AD113" s="89">
        <v>680</v>
      </c>
      <c r="AE113" s="90">
        <v>1</v>
      </c>
      <c r="AF113" s="91">
        <f t="shared" si="9"/>
        <v>0.7421203669467662</v>
      </c>
      <c r="AG113" s="234">
        <f t="shared" si="10"/>
        <v>570</v>
      </c>
    </row>
    <row r="114" spans="1:33" s="94" customFormat="1">
      <c r="A114" s="60">
        <f t="shared" si="11"/>
        <v>107</v>
      </c>
      <c r="B114" s="69">
        <v>9149</v>
      </c>
      <c r="C114" s="70" t="s">
        <v>112</v>
      </c>
      <c r="D114" s="70" t="s">
        <v>32</v>
      </c>
      <c r="E114" s="70" t="s">
        <v>317</v>
      </c>
      <c r="F114" s="83" t="s">
        <v>375</v>
      </c>
      <c r="G114" s="70"/>
      <c r="H114" s="70"/>
      <c r="I114" s="62" t="s">
        <v>360</v>
      </c>
      <c r="J114" s="71">
        <v>5</v>
      </c>
      <c r="K114" s="71">
        <v>5</v>
      </c>
      <c r="L114" s="71">
        <v>5</v>
      </c>
      <c r="M114" s="71">
        <v>5</v>
      </c>
      <c r="N114" s="71">
        <v>4</v>
      </c>
      <c r="O114" s="71">
        <v>5</v>
      </c>
      <c r="P114" s="71">
        <v>4</v>
      </c>
      <c r="Q114" s="71">
        <v>5</v>
      </c>
      <c r="R114" s="63">
        <f t="shared" si="6"/>
        <v>4.8500000000000005</v>
      </c>
      <c r="S114" s="64">
        <f t="shared" si="7"/>
        <v>0.97</v>
      </c>
      <c r="T114" s="65" t="str">
        <f t="shared" si="8"/>
        <v>Grade-A</v>
      </c>
      <c r="U114" s="66">
        <f>IFERROR(VLOOKUP(F114,[3]Database!F:G,2,0),0)</f>
        <v>800</v>
      </c>
      <c r="V114" s="90">
        <v>0</v>
      </c>
      <c r="W114" s="91">
        <v>0.89694399005601633</v>
      </c>
      <c r="X114" s="89">
        <v>0</v>
      </c>
      <c r="Y114" s="90">
        <v>0.52</v>
      </c>
      <c r="Z114" s="91">
        <v>0.89694399005601633</v>
      </c>
      <c r="AA114" s="187">
        <v>360</v>
      </c>
      <c r="AB114" s="90">
        <v>1</v>
      </c>
      <c r="AC114" s="91">
        <v>0.89694399005601633</v>
      </c>
      <c r="AD114" s="89">
        <v>690</v>
      </c>
      <c r="AE114" s="90">
        <v>1</v>
      </c>
      <c r="AF114" s="91">
        <f t="shared" si="9"/>
        <v>0.7421203669467662</v>
      </c>
      <c r="AG114" s="234">
        <f t="shared" si="10"/>
        <v>580</v>
      </c>
    </row>
    <row r="115" spans="1:33">
      <c r="A115" s="60">
        <f t="shared" si="11"/>
        <v>108</v>
      </c>
      <c r="B115" s="61">
        <v>135</v>
      </c>
      <c r="C115" s="62" t="s">
        <v>113</v>
      </c>
      <c r="D115" s="62" t="s">
        <v>43</v>
      </c>
      <c r="E115" s="62" t="s">
        <v>317</v>
      </c>
      <c r="F115" s="36" t="s">
        <v>375</v>
      </c>
      <c r="G115" s="62"/>
      <c r="H115" s="62"/>
      <c r="I115" s="62" t="s">
        <v>360</v>
      </c>
      <c r="J115" s="77">
        <v>5</v>
      </c>
      <c r="K115" s="77">
        <v>5</v>
      </c>
      <c r="L115" s="77">
        <v>5</v>
      </c>
      <c r="M115" s="77">
        <v>4</v>
      </c>
      <c r="N115" s="77">
        <v>4</v>
      </c>
      <c r="O115" s="77">
        <v>5</v>
      </c>
      <c r="P115" s="77">
        <v>5</v>
      </c>
      <c r="Q115" s="77">
        <v>4</v>
      </c>
      <c r="R115" s="63">
        <f t="shared" si="6"/>
        <v>4.75</v>
      </c>
      <c r="S115" s="64">
        <f t="shared" si="7"/>
        <v>0.95</v>
      </c>
      <c r="T115" s="65" t="str">
        <f t="shared" si="8"/>
        <v>Grade-A</v>
      </c>
      <c r="U115" s="66">
        <f>IFERROR(VLOOKUP(F115,[3]Database!F:G,2,0),0)</f>
        <v>800</v>
      </c>
      <c r="V115" s="66">
        <v>1</v>
      </c>
      <c r="W115" s="84">
        <v>0.89694399005601633</v>
      </c>
      <c r="X115" s="89">
        <v>610</v>
      </c>
      <c r="Y115" s="66">
        <v>1</v>
      </c>
      <c r="Z115" s="84">
        <v>0.89694399005601633</v>
      </c>
      <c r="AA115" s="89">
        <v>610</v>
      </c>
      <c r="AB115" s="66">
        <v>1</v>
      </c>
      <c r="AC115" s="84">
        <v>0.89694399005601633</v>
      </c>
      <c r="AD115" s="89">
        <v>610</v>
      </c>
      <c r="AE115" s="66">
        <v>1</v>
      </c>
      <c r="AF115" s="84">
        <f t="shared" si="9"/>
        <v>0.7421203669467662</v>
      </c>
      <c r="AG115" s="234">
        <f t="shared" si="10"/>
        <v>570</v>
      </c>
    </row>
    <row r="116" spans="1:33">
      <c r="A116" s="60">
        <f t="shared" si="11"/>
        <v>109</v>
      </c>
      <c r="B116" s="61">
        <v>17884</v>
      </c>
      <c r="C116" s="62" t="s">
        <v>114</v>
      </c>
      <c r="D116" s="62" t="s">
        <v>43</v>
      </c>
      <c r="E116" s="62" t="s">
        <v>32</v>
      </c>
      <c r="F116" s="36" t="s">
        <v>665</v>
      </c>
      <c r="G116" s="62"/>
      <c r="H116" s="62"/>
      <c r="I116" s="62" t="s">
        <v>360</v>
      </c>
      <c r="J116" s="77">
        <v>5</v>
      </c>
      <c r="K116" s="77">
        <v>5</v>
      </c>
      <c r="L116" s="77">
        <v>5</v>
      </c>
      <c r="M116" s="77">
        <v>4</v>
      </c>
      <c r="N116" s="77">
        <v>4</v>
      </c>
      <c r="O116" s="77">
        <v>4</v>
      </c>
      <c r="P116" s="77">
        <v>5</v>
      </c>
      <c r="Q116" s="77">
        <v>4</v>
      </c>
      <c r="R116" s="63">
        <f t="shared" si="6"/>
        <v>4.6500000000000004</v>
      </c>
      <c r="S116" s="64">
        <f t="shared" si="7"/>
        <v>0.92999999999999994</v>
      </c>
      <c r="T116" s="65" t="str">
        <f t="shared" si="8"/>
        <v>Grade-A</v>
      </c>
      <c r="U116" s="66">
        <f>IFERROR(VLOOKUP(F116,[3]Database!F:G,2,0),0)</f>
        <v>700</v>
      </c>
      <c r="V116" s="66">
        <v>1</v>
      </c>
      <c r="W116" s="84">
        <v>0.89694399005601633</v>
      </c>
      <c r="X116" s="87">
        <v>540</v>
      </c>
      <c r="Y116" s="66">
        <v>0.97</v>
      </c>
      <c r="Z116" s="84">
        <v>0.89694399005601633</v>
      </c>
      <c r="AA116" s="87">
        <v>530</v>
      </c>
      <c r="AB116" s="66">
        <v>1</v>
      </c>
      <c r="AC116" s="84">
        <v>0.89694399005601633</v>
      </c>
      <c r="AD116" s="87">
        <v>540</v>
      </c>
      <c r="AE116" s="66">
        <v>1</v>
      </c>
      <c r="AF116" s="84">
        <f t="shared" si="9"/>
        <v>0.7421203669467662</v>
      </c>
      <c r="AG116" s="235">
        <f t="shared" si="10"/>
        <v>490</v>
      </c>
    </row>
    <row r="117" spans="1:33">
      <c r="A117" s="60">
        <f t="shared" si="11"/>
        <v>110</v>
      </c>
      <c r="B117" s="61">
        <v>4252</v>
      </c>
      <c r="C117" s="62" t="s">
        <v>115</v>
      </c>
      <c r="D117" s="62" t="s">
        <v>65</v>
      </c>
      <c r="E117" s="62" t="s">
        <v>314</v>
      </c>
      <c r="F117" s="36" t="s">
        <v>372</v>
      </c>
      <c r="G117" s="62"/>
      <c r="H117" s="62"/>
      <c r="I117" s="62" t="s">
        <v>360</v>
      </c>
      <c r="J117" s="77">
        <v>5</v>
      </c>
      <c r="K117" s="77">
        <v>5</v>
      </c>
      <c r="L117" s="77">
        <v>4</v>
      </c>
      <c r="M117" s="77">
        <v>4</v>
      </c>
      <c r="N117" s="77">
        <v>5</v>
      </c>
      <c r="O117" s="77">
        <v>5</v>
      </c>
      <c r="P117" s="77">
        <v>5</v>
      </c>
      <c r="Q117" s="77">
        <v>4</v>
      </c>
      <c r="R117" s="63">
        <f t="shared" si="6"/>
        <v>4.75</v>
      </c>
      <c r="S117" s="64">
        <f t="shared" si="7"/>
        <v>0.95</v>
      </c>
      <c r="T117" s="65" t="str">
        <f t="shared" si="8"/>
        <v>Grade-A</v>
      </c>
      <c r="U117" s="66">
        <f>IFERROR(VLOOKUP(F117,[3]Database!F:G,2,0),0)</f>
        <v>800</v>
      </c>
      <c r="V117" s="66">
        <v>1</v>
      </c>
      <c r="W117" s="84">
        <v>0.89694399005601633</v>
      </c>
      <c r="X117" s="89">
        <v>680</v>
      </c>
      <c r="Y117" s="66">
        <v>1</v>
      </c>
      <c r="Z117" s="84">
        <v>0.89694399005601633</v>
      </c>
      <c r="AA117" s="89">
        <v>680</v>
      </c>
      <c r="AB117" s="66">
        <v>1</v>
      </c>
      <c r="AC117" s="84">
        <v>0.89694399005601633</v>
      </c>
      <c r="AD117" s="89">
        <v>680</v>
      </c>
      <c r="AE117" s="66">
        <v>1</v>
      </c>
      <c r="AF117" s="84">
        <f t="shared" si="9"/>
        <v>0.7421203669467662</v>
      </c>
      <c r="AG117" s="234">
        <f t="shared" si="10"/>
        <v>570</v>
      </c>
    </row>
    <row r="118" spans="1:33">
      <c r="A118" s="60">
        <f t="shared" si="11"/>
        <v>111</v>
      </c>
      <c r="B118" s="61">
        <v>19463</v>
      </c>
      <c r="C118" s="62" t="s">
        <v>484</v>
      </c>
      <c r="D118" s="62" t="s">
        <v>32</v>
      </c>
      <c r="E118" s="62" t="s">
        <v>314</v>
      </c>
      <c r="F118" s="36" t="s">
        <v>372</v>
      </c>
      <c r="G118" s="62"/>
      <c r="H118" s="62"/>
      <c r="I118" s="62" t="s">
        <v>360</v>
      </c>
      <c r="J118" s="77">
        <v>5</v>
      </c>
      <c r="K118" s="77">
        <v>5</v>
      </c>
      <c r="L118" s="77">
        <v>4</v>
      </c>
      <c r="M118" s="77">
        <v>4</v>
      </c>
      <c r="N118" s="77">
        <v>5</v>
      </c>
      <c r="O118" s="77">
        <v>5</v>
      </c>
      <c r="P118" s="77">
        <v>4</v>
      </c>
      <c r="Q118" s="77">
        <v>5</v>
      </c>
      <c r="R118" s="63">
        <f t="shared" si="6"/>
        <v>4.75</v>
      </c>
      <c r="S118" s="64">
        <f t="shared" si="7"/>
        <v>0.95</v>
      </c>
      <c r="T118" s="65" t="str">
        <f t="shared" si="8"/>
        <v>Grade-A</v>
      </c>
      <c r="U118" s="66">
        <f>IFERROR(VLOOKUP(F118,[3]Database!F:G,2,0),0)</f>
        <v>800</v>
      </c>
      <c r="V118" s="66">
        <v>1</v>
      </c>
      <c r="W118" s="84">
        <v>0.89694399005601633</v>
      </c>
      <c r="X118" s="87">
        <v>640</v>
      </c>
      <c r="Y118" s="66">
        <v>1</v>
      </c>
      <c r="Z118" s="84">
        <v>0.89694399005601633</v>
      </c>
      <c r="AA118" s="87">
        <v>640</v>
      </c>
      <c r="AB118" s="66">
        <v>1</v>
      </c>
      <c r="AC118" s="84">
        <v>0.89694399005601633</v>
      </c>
      <c r="AD118" s="87">
        <v>640</v>
      </c>
      <c r="AE118" s="66">
        <v>1</v>
      </c>
      <c r="AF118" s="84">
        <f t="shared" si="9"/>
        <v>0.7421203669467662</v>
      </c>
      <c r="AG118" s="235">
        <f t="shared" si="10"/>
        <v>570</v>
      </c>
    </row>
    <row r="119" spans="1:33" s="8" customFormat="1">
      <c r="A119" s="60">
        <f t="shared" si="11"/>
        <v>112</v>
      </c>
      <c r="B119" s="61">
        <v>18795</v>
      </c>
      <c r="C119" s="62" t="s">
        <v>485</v>
      </c>
      <c r="D119" s="62" t="s">
        <v>43</v>
      </c>
      <c r="E119" s="62" t="s">
        <v>32</v>
      </c>
      <c r="F119" s="36" t="s">
        <v>665</v>
      </c>
      <c r="G119" s="62"/>
      <c r="H119" s="62"/>
      <c r="I119" s="62" t="s">
        <v>360</v>
      </c>
      <c r="J119" s="77">
        <v>4</v>
      </c>
      <c r="K119" s="77">
        <v>5</v>
      </c>
      <c r="L119" s="77">
        <v>5</v>
      </c>
      <c r="M119" s="77">
        <v>5</v>
      </c>
      <c r="N119" s="77">
        <v>5</v>
      </c>
      <c r="O119" s="77">
        <v>5</v>
      </c>
      <c r="P119" s="77">
        <v>5</v>
      </c>
      <c r="Q119" s="77">
        <v>4</v>
      </c>
      <c r="R119" s="63">
        <f t="shared" si="6"/>
        <v>4.6500000000000004</v>
      </c>
      <c r="S119" s="64">
        <f t="shared" si="7"/>
        <v>0.93</v>
      </c>
      <c r="T119" s="65" t="str">
        <f t="shared" si="8"/>
        <v>Grade-A</v>
      </c>
      <c r="U119" s="66">
        <f>IFERROR(VLOOKUP(F119,[3]Database!F:G,2,0),0)</f>
        <v>700</v>
      </c>
      <c r="V119" s="66">
        <v>1</v>
      </c>
      <c r="W119" s="84">
        <v>0.89694399005601633</v>
      </c>
      <c r="X119" s="87">
        <v>570</v>
      </c>
      <c r="Y119" s="66">
        <v>1</v>
      </c>
      <c r="Z119" s="84">
        <v>0.89694399005601633</v>
      </c>
      <c r="AA119" s="87">
        <v>570</v>
      </c>
      <c r="AB119" s="66">
        <v>1</v>
      </c>
      <c r="AC119" s="84">
        <v>0.89694399005601633</v>
      </c>
      <c r="AD119" s="87">
        <v>570</v>
      </c>
      <c r="AE119" s="66">
        <v>1</v>
      </c>
      <c r="AF119" s="84">
        <f t="shared" si="9"/>
        <v>0.7421203669467662</v>
      </c>
      <c r="AG119" s="235">
        <f t="shared" si="10"/>
        <v>490</v>
      </c>
    </row>
    <row r="120" spans="1:33">
      <c r="A120" s="60">
        <f t="shared" si="11"/>
        <v>113</v>
      </c>
      <c r="B120" s="61">
        <v>21140</v>
      </c>
      <c r="C120" s="62" t="s">
        <v>486</v>
      </c>
      <c r="D120" s="62" t="s">
        <v>32</v>
      </c>
      <c r="E120" s="62" t="s">
        <v>32</v>
      </c>
      <c r="F120" s="36" t="s">
        <v>368</v>
      </c>
      <c r="G120" s="62"/>
      <c r="H120" s="62"/>
      <c r="I120" s="62" t="s">
        <v>360</v>
      </c>
      <c r="J120" s="77">
        <v>5</v>
      </c>
      <c r="K120" s="77">
        <v>4</v>
      </c>
      <c r="L120" s="77">
        <v>5</v>
      </c>
      <c r="M120" s="77">
        <v>5</v>
      </c>
      <c r="N120" s="77">
        <v>5</v>
      </c>
      <c r="O120" s="77">
        <v>5</v>
      </c>
      <c r="P120" s="77">
        <v>5</v>
      </c>
      <c r="Q120" s="77">
        <v>4</v>
      </c>
      <c r="R120" s="63">
        <f t="shared" si="6"/>
        <v>4.75</v>
      </c>
      <c r="S120" s="64">
        <f t="shared" si="7"/>
        <v>0.95</v>
      </c>
      <c r="T120" s="65" t="str">
        <f t="shared" si="8"/>
        <v>Grade-A</v>
      </c>
      <c r="U120" s="66">
        <f>IFERROR(VLOOKUP(F120,[3]Database!F:G,2,0),0)</f>
        <v>850</v>
      </c>
      <c r="V120" s="66">
        <v>1</v>
      </c>
      <c r="W120" s="84">
        <v>0.89694399005601633</v>
      </c>
      <c r="X120" s="87">
        <v>730</v>
      </c>
      <c r="Y120" s="66">
        <v>1</v>
      </c>
      <c r="Z120" s="84">
        <v>0.89694399005601633</v>
      </c>
      <c r="AA120" s="87">
        <v>730</v>
      </c>
      <c r="AB120" s="66">
        <v>0.97</v>
      </c>
      <c r="AC120" s="84">
        <v>0.89694399005601633</v>
      </c>
      <c r="AD120" s="87">
        <v>710</v>
      </c>
      <c r="AE120" s="66">
        <v>1</v>
      </c>
      <c r="AF120" s="84">
        <f t="shared" si="9"/>
        <v>0.7421203669467662</v>
      </c>
      <c r="AG120" s="235">
        <f t="shared" si="10"/>
        <v>600</v>
      </c>
    </row>
    <row r="121" spans="1:33">
      <c r="A121" s="60">
        <f t="shared" si="11"/>
        <v>114</v>
      </c>
      <c r="B121" s="290">
        <v>23868</v>
      </c>
      <c r="C121" s="291" t="s">
        <v>487</v>
      </c>
      <c r="D121" s="291" t="s">
        <v>60</v>
      </c>
      <c r="E121" s="291" t="s">
        <v>32</v>
      </c>
      <c r="F121" s="250" t="s">
        <v>376</v>
      </c>
      <c r="G121" s="291"/>
      <c r="H121" s="291"/>
      <c r="I121" s="291" t="s">
        <v>782</v>
      </c>
      <c r="J121" s="323">
        <v>5</v>
      </c>
      <c r="K121" s="323">
        <v>4</v>
      </c>
      <c r="L121" s="323">
        <v>5</v>
      </c>
      <c r="M121" s="323">
        <v>5</v>
      </c>
      <c r="N121" s="323">
        <v>5</v>
      </c>
      <c r="O121" s="323">
        <v>5</v>
      </c>
      <c r="P121" s="323">
        <v>5</v>
      </c>
      <c r="Q121" s="323">
        <v>5</v>
      </c>
      <c r="R121" s="292">
        <f t="shared" si="6"/>
        <v>4.8</v>
      </c>
      <c r="S121" s="293">
        <f t="shared" si="7"/>
        <v>0.96</v>
      </c>
      <c r="T121" s="294" t="str">
        <f t="shared" si="8"/>
        <v>Grade-A</v>
      </c>
      <c r="U121" s="296">
        <f>IFERROR(VLOOKUP(F121,[3]Database!F:G,2,0),0)</f>
        <v>700</v>
      </c>
      <c r="V121" s="296">
        <v>1</v>
      </c>
      <c r="W121" s="297">
        <v>0.89694399005601633</v>
      </c>
      <c r="X121" s="326">
        <v>600</v>
      </c>
      <c r="Y121" s="296">
        <v>1</v>
      </c>
      <c r="Z121" s="297">
        <v>0.89694399005601633</v>
      </c>
      <c r="AA121" s="326">
        <v>600</v>
      </c>
      <c r="AB121" s="296">
        <v>1</v>
      </c>
      <c r="AC121" s="297">
        <v>0.89694399005601633</v>
      </c>
      <c r="AD121" s="326">
        <v>600</v>
      </c>
      <c r="AE121" s="296">
        <v>0.52</v>
      </c>
      <c r="AF121" s="297">
        <f t="shared" si="9"/>
        <v>0.7421203669467662</v>
      </c>
      <c r="AG121" s="327">
        <f t="shared" si="10"/>
        <v>260</v>
      </c>
    </row>
    <row r="122" spans="1:33" s="95" customFormat="1">
      <c r="A122" s="60">
        <f t="shared" si="11"/>
        <v>115</v>
      </c>
      <c r="B122" s="69">
        <v>1634</v>
      </c>
      <c r="C122" s="70" t="s">
        <v>116</v>
      </c>
      <c r="D122" s="70" t="s">
        <v>43</v>
      </c>
      <c r="E122" s="70" t="s">
        <v>32</v>
      </c>
      <c r="F122" s="83" t="s">
        <v>371</v>
      </c>
      <c r="G122" s="70"/>
      <c r="H122" s="70"/>
      <c r="I122" s="62" t="s">
        <v>360</v>
      </c>
      <c r="J122" s="71">
        <v>5</v>
      </c>
      <c r="K122" s="71">
        <v>4</v>
      </c>
      <c r="L122" s="71">
        <v>5</v>
      </c>
      <c r="M122" s="71">
        <v>5</v>
      </c>
      <c r="N122" s="71">
        <v>4</v>
      </c>
      <c r="O122" s="71">
        <v>3</v>
      </c>
      <c r="P122" s="71">
        <v>5</v>
      </c>
      <c r="Q122" s="71">
        <v>3</v>
      </c>
      <c r="R122" s="63">
        <f t="shared" si="6"/>
        <v>4.4000000000000004</v>
      </c>
      <c r="S122" s="64">
        <f t="shared" si="7"/>
        <v>0.87999999999999989</v>
      </c>
      <c r="T122" s="65" t="str">
        <f t="shared" si="8"/>
        <v>Grade-B</v>
      </c>
      <c r="U122" s="66">
        <f>IFERROR(VLOOKUP(F122,[3]Database!F:G,2,0),0)</f>
        <v>800</v>
      </c>
      <c r="V122" s="90">
        <v>1</v>
      </c>
      <c r="W122" s="91">
        <v>0.89694399005601633</v>
      </c>
      <c r="X122" s="89">
        <v>680</v>
      </c>
      <c r="Y122" s="90">
        <v>0.57999999999999996</v>
      </c>
      <c r="Z122" s="91">
        <v>0.89694399005601633</v>
      </c>
      <c r="AA122" s="89">
        <v>400</v>
      </c>
      <c r="AB122" s="90">
        <v>1</v>
      </c>
      <c r="AC122" s="91">
        <v>0.89694399005601633</v>
      </c>
      <c r="AD122" s="89">
        <v>680</v>
      </c>
      <c r="AE122" s="90">
        <v>1</v>
      </c>
      <c r="AF122" s="91">
        <f t="shared" si="9"/>
        <v>0.7421203669467662</v>
      </c>
      <c r="AG122" s="234">
        <f t="shared" si="10"/>
        <v>530</v>
      </c>
    </row>
    <row r="123" spans="1:33" s="92" customFormat="1">
      <c r="A123" s="60">
        <f t="shared" si="11"/>
        <v>116</v>
      </c>
      <c r="B123" s="188">
        <v>17463</v>
      </c>
      <c r="C123" s="189" t="s">
        <v>117</v>
      </c>
      <c r="D123" s="189" t="s">
        <v>168</v>
      </c>
      <c r="E123" s="189" t="s">
        <v>318</v>
      </c>
      <c r="F123" s="190" t="s">
        <v>366</v>
      </c>
      <c r="G123" s="189"/>
      <c r="H123" s="189"/>
      <c r="I123" s="62" t="s">
        <v>360</v>
      </c>
      <c r="J123" s="71">
        <v>5</v>
      </c>
      <c r="K123" s="71">
        <v>5</v>
      </c>
      <c r="L123" s="71">
        <v>4</v>
      </c>
      <c r="M123" s="71">
        <v>5</v>
      </c>
      <c r="N123" s="71">
        <v>4</v>
      </c>
      <c r="O123" s="71">
        <v>4</v>
      </c>
      <c r="P123" s="71">
        <v>5</v>
      </c>
      <c r="Q123" s="71">
        <v>5</v>
      </c>
      <c r="R123" s="63">
        <f t="shared" si="6"/>
        <v>4.7</v>
      </c>
      <c r="S123" s="64">
        <f t="shared" si="7"/>
        <v>0.94</v>
      </c>
      <c r="T123" s="65" t="str">
        <f t="shared" si="8"/>
        <v>Grade-A</v>
      </c>
      <c r="U123" s="66">
        <f>IFERROR(VLOOKUP(F123,[3]Database!F:G,2,0),0)</f>
        <v>1300</v>
      </c>
      <c r="V123" s="191">
        <v>0.83</v>
      </c>
      <c r="W123" s="192">
        <v>0.89694399005601633</v>
      </c>
      <c r="X123" s="193">
        <v>910</v>
      </c>
      <c r="Y123" s="191">
        <v>0.16</v>
      </c>
      <c r="Z123" s="192">
        <v>0.89694399005601633</v>
      </c>
      <c r="AA123" s="193">
        <v>180</v>
      </c>
      <c r="AB123" s="191">
        <v>1</v>
      </c>
      <c r="AC123" s="192">
        <v>0.89694399005601633</v>
      </c>
      <c r="AD123" s="193">
        <v>1090</v>
      </c>
      <c r="AE123" s="191">
        <v>1</v>
      </c>
      <c r="AF123" s="192">
        <f t="shared" si="9"/>
        <v>0.7421203669467662</v>
      </c>
      <c r="AG123" s="237">
        <f t="shared" si="10"/>
        <v>910</v>
      </c>
    </row>
    <row r="124" spans="1:33" s="41" customFormat="1">
      <c r="A124" s="60">
        <f t="shared" si="11"/>
        <v>117</v>
      </c>
      <c r="B124" s="188">
        <v>27419</v>
      </c>
      <c r="C124" s="189" t="s">
        <v>741</v>
      </c>
      <c r="D124" s="189" t="s">
        <v>168</v>
      </c>
      <c r="E124" s="189" t="s">
        <v>318</v>
      </c>
      <c r="F124" s="190" t="s">
        <v>366</v>
      </c>
      <c r="G124" s="189"/>
      <c r="H124" s="189"/>
      <c r="I124" s="62" t="s">
        <v>360</v>
      </c>
      <c r="J124" s="71">
        <v>5</v>
      </c>
      <c r="K124" s="71">
        <v>5</v>
      </c>
      <c r="L124" s="71">
        <v>4</v>
      </c>
      <c r="M124" s="71">
        <v>4</v>
      </c>
      <c r="N124" s="71">
        <v>4</v>
      </c>
      <c r="O124" s="71">
        <v>4</v>
      </c>
      <c r="P124" s="71">
        <v>5</v>
      </c>
      <c r="Q124" s="71">
        <v>5</v>
      </c>
      <c r="R124" s="63">
        <f t="shared" si="6"/>
        <v>4.5999999999999996</v>
      </c>
      <c r="S124" s="64">
        <f t="shared" si="7"/>
        <v>0.91999999999999993</v>
      </c>
      <c r="T124" s="65" t="str">
        <f t="shared" si="8"/>
        <v>Grade-A</v>
      </c>
      <c r="U124" s="66">
        <f>IFERROR(VLOOKUP(F124,[3]Database!F:G,2,0),0)</f>
        <v>1300</v>
      </c>
      <c r="V124" s="191">
        <v>0.83</v>
      </c>
      <c r="W124" s="192">
        <v>0.89694399005601633</v>
      </c>
      <c r="X124" s="193">
        <v>910</v>
      </c>
      <c r="Y124" s="191">
        <v>0.16</v>
      </c>
      <c r="Z124" s="192">
        <v>0.89694399005601633</v>
      </c>
      <c r="AA124" s="193">
        <v>180</v>
      </c>
      <c r="AB124" s="191">
        <v>1</v>
      </c>
      <c r="AC124" s="192">
        <v>0.89694399005601633</v>
      </c>
      <c r="AD124" s="193">
        <v>1090</v>
      </c>
      <c r="AE124" s="191">
        <v>0.97</v>
      </c>
      <c r="AF124" s="192">
        <f t="shared" si="9"/>
        <v>0.7421203669467662</v>
      </c>
      <c r="AG124" s="237">
        <f t="shared" si="10"/>
        <v>870</v>
      </c>
    </row>
    <row r="125" spans="1:33">
      <c r="A125" s="60">
        <f t="shared" si="11"/>
        <v>118</v>
      </c>
      <c r="B125" s="61">
        <v>16645</v>
      </c>
      <c r="C125" s="62" t="s">
        <v>620</v>
      </c>
      <c r="D125" s="62" t="s">
        <v>169</v>
      </c>
      <c r="E125" s="62" t="s">
        <v>169</v>
      </c>
      <c r="F125" s="36" t="s">
        <v>376</v>
      </c>
      <c r="G125" s="62"/>
      <c r="H125" s="62"/>
      <c r="I125" s="62" t="s">
        <v>360</v>
      </c>
      <c r="J125" s="77">
        <v>4</v>
      </c>
      <c r="K125" s="77">
        <v>4</v>
      </c>
      <c r="L125" s="77">
        <v>3</v>
      </c>
      <c r="M125" s="77">
        <v>5</v>
      </c>
      <c r="N125" s="77">
        <v>4</v>
      </c>
      <c r="O125" s="77">
        <v>3</v>
      </c>
      <c r="P125" s="77">
        <v>4</v>
      </c>
      <c r="Q125" s="77">
        <v>4</v>
      </c>
      <c r="R125" s="63">
        <f t="shared" si="6"/>
        <v>3.9000000000000004</v>
      </c>
      <c r="S125" s="64">
        <f t="shared" si="7"/>
        <v>0.78</v>
      </c>
      <c r="T125" s="65" t="str">
        <f t="shared" si="8"/>
        <v>Grade-B</v>
      </c>
      <c r="U125" s="66">
        <f>IFERROR(VLOOKUP(F125,[3]Database!F:G,2,0),0)</f>
        <v>700</v>
      </c>
      <c r="V125" s="66">
        <v>1</v>
      </c>
      <c r="W125" s="84">
        <v>0.89694399005601633</v>
      </c>
      <c r="X125" s="89">
        <v>490</v>
      </c>
      <c r="Y125" s="66">
        <v>1</v>
      </c>
      <c r="Z125" s="84">
        <v>0.89694399005601633</v>
      </c>
      <c r="AA125" s="89">
        <v>490</v>
      </c>
      <c r="AB125" s="66">
        <v>1</v>
      </c>
      <c r="AC125" s="84">
        <v>0.89694399005601633</v>
      </c>
      <c r="AD125" s="89">
        <v>490</v>
      </c>
      <c r="AE125" s="66">
        <v>1</v>
      </c>
      <c r="AF125" s="84">
        <f t="shared" si="9"/>
        <v>0.7421203669467662</v>
      </c>
      <c r="AG125" s="234">
        <f t="shared" si="10"/>
        <v>410</v>
      </c>
    </row>
    <row r="126" spans="1:33" s="92" customFormat="1">
      <c r="A126" s="60">
        <f t="shared" si="11"/>
        <v>119</v>
      </c>
      <c r="B126" s="61">
        <v>410</v>
      </c>
      <c r="C126" s="62" t="s">
        <v>488</v>
      </c>
      <c r="D126" s="62"/>
      <c r="E126" s="62"/>
      <c r="F126" s="36" t="s">
        <v>375</v>
      </c>
      <c r="G126" s="62"/>
      <c r="H126" s="62"/>
      <c r="I126" s="62" t="s">
        <v>360</v>
      </c>
      <c r="J126" s="77">
        <v>4</v>
      </c>
      <c r="K126" s="77">
        <v>5</v>
      </c>
      <c r="L126" s="77">
        <v>4</v>
      </c>
      <c r="M126" s="77">
        <v>5</v>
      </c>
      <c r="N126" s="77">
        <v>4</v>
      </c>
      <c r="O126" s="77">
        <v>5</v>
      </c>
      <c r="P126" s="77">
        <v>5</v>
      </c>
      <c r="Q126" s="77">
        <v>5</v>
      </c>
      <c r="R126" s="63">
        <f t="shared" si="6"/>
        <v>4.5</v>
      </c>
      <c r="S126" s="64">
        <f t="shared" si="7"/>
        <v>0.9</v>
      </c>
      <c r="T126" s="65" t="str">
        <f t="shared" si="8"/>
        <v>Grade-A</v>
      </c>
      <c r="U126" s="66">
        <f>IFERROR(VLOOKUP(F126,[3]Database!F:G,2,0),0)</f>
        <v>800</v>
      </c>
      <c r="V126" s="66">
        <v>1</v>
      </c>
      <c r="W126" s="84">
        <v>0.89694399005601633</v>
      </c>
      <c r="X126" s="87">
        <v>490</v>
      </c>
      <c r="Y126" s="66">
        <v>1</v>
      </c>
      <c r="Z126" s="84">
        <v>1.8969439900560201</v>
      </c>
      <c r="AA126" s="87">
        <v>490</v>
      </c>
      <c r="AB126" s="66">
        <v>1</v>
      </c>
      <c r="AC126" s="84">
        <v>1.8969439900560201</v>
      </c>
      <c r="AD126" s="87">
        <v>490</v>
      </c>
      <c r="AE126" s="66">
        <v>1</v>
      </c>
      <c r="AF126" s="84">
        <f t="shared" si="9"/>
        <v>0.7421203669467662</v>
      </c>
      <c r="AG126" s="235">
        <f t="shared" si="10"/>
        <v>540</v>
      </c>
    </row>
    <row r="127" spans="1:33">
      <c r="A127" s="60">
        <f t="shared" si="11"/>
        <v>120</v>
      </c>
      <c r="B127" s="69">
        <v>902</v>
      </c>
      <c r="C127" s="70" t="s">
        <v>489</v>
      </c>
      <c r="D127" s="70" t="s">
        <v>32</v>
      </c>
      <c r="E127" s="70" t="s">
        <v>321</v>
      </c>
      <c r="F127" s="83" t="s">
        <v>665</v>
      </c>
      <c r="G127" s="70"/>
      <c r="H127" s="70"/>
      <c r="I127" s="62" t="s">
        <v>360</v>
      </c>
      <c r="J127" s="71">
        <v>5</v>
      </c>
      <c r="K127" s="71">
        <v>4</v>
      </c>
      <c r="L127" s="71">
        <v>3</v>
      </c>
      <c r="M127" s="71">
        <v>5</v>
      </c>
      <c r="N127" s="71">
        <v>4</v>
      </c>
      <c r="O127" s="71">
        <v>4</v>
      </c>
      <c r="P127" s="71">
        <v>4</v>
      </c>
      <c r="Q127" s="71">
        <v>4</v>
      </c>
      <c r="R127" s="63">
        <f t="shared" si="6"/>
        <v>4.3</v>
      </c>
      <c r="S127" s="64">
        <f t="shared" si="7"/>
        <v>0.86</v>
      </c>
      <c r="T127" s="65" t="str">
        <f t="shared" si="8"/>
        <v>Grade-B</v>
      </c>
      <c r="U127" s="66">
        <f>IFERROR(VLOOKUP(F127,[3]Database!F:G,2,0),0)</f>
        <v>700</v>
      </c>
      <c r="V127" s="90">
        <v>0.9</v>
      </c>
      <c r="W127" s="91">
        <v>0.89694399005601633</v>
      </c>
      <c r="X127" s="89">
        <v>370</v>
      </c>
      <c r="Y127" s="90">
        <v>1</v>
      </c>
      <c r="Z127" s="91">
        <v>0.89694399005601633</v>
      </c>
      <c r="AA127" s="89">
        <v>410</v>
      </c>
      <c r="AB127" s="90">
        <v>1</v>
      </c>
      <c r="AC127" s="91">
        <v>0.89694399005601633</v>
      </c>
      <c r="AD127" s="89">
        <v>410</v>
      </c>
      <c r="AE127" s="90">
        <v>1</v>
      </c>
      <c r="AF127" s="91">
        <f t="shared" si="9"/>
        <v>0.7421203669467662</v>
      </c>
      <c r="AG127" s="234">
        <f t="shared" si="10"/>
        <v>450</v>
      </c>
    </row>
    <row r="128" spans="1:33">
      <c r="A128" s="60">
        <f t="shared" si="11"/>
        <v>121</v>
      </c>
      <c r="B128" s="135">
        <v>24249</v>
      </c>
      <c r="C128" s="136" t="s">
        <v>490</v>
      </c>
      <c r="D128" s="136" t="s">
        <v>168</v>
      </c>
      <c r="E128" s="136" t="s">
        <v>168</v>
      </c>
      <c r="F128" s="137" t="s">
        <v>366</v>
      </c>
      <c r="G128" s="136"/>
      <c r="H128" s="136"/>
      <c r="I128" s="136" t="s">
        <v>752</v>
      </c>
      <c r="J128" s="186">
        <v>5</v>
      </c>
      <c r="K128" s="186">
        <v>5</v>
      </c>
      <c r="L128" s="186">
        <v>4</v>
      </c>
      <c r="M128" s="186">
        <v>5</v>
      </c>
      <c r="N128" s="186">
        <v>4</v>
      </c>
      <c r="O128" s="186">
        <v>5</v>
      </c>
      <c r="P128" s="186">
        <v>5</v>
      </c>
      <c r="Q128" s="186">
        <v>5</v>
      </c>
      <c r="R128" s="253">
        <f t="shared" si="6"/>
        <v>4.8</v>
      </c>
      <c r="S128" s="254">
        <f t="shared" si="7"/>
        <v>0.96</v>
      </c>
      <c r="T128" s="255" t="str">
        <f t="shared" si="8"/>
        <v>Grade-A</v>
      </c>
      <c r="U128" s="138">
        <f>IFERROR(VLOOKUP(F128,[3]Database!F:G,2,0),0)</f>
        <v>1300</v>
      </c>
      <c r="V128" s="138">
        <v>1</v>
      </c>
      <c r="W128" s="139">
        <v>0.89694399005601633</v>
      </c>
      <c r="X128" s="187">
        <v>1120</v>
      </c>
      <c r="Y128" s="138">
        <v>1</v>
      </c>
      <c r="Z128" s="139">
        <v>0.89694399005601633</v>
      </c>
      <c r="AA128" s="187">
        <v>1120</v>
      </c>
      <c r="AB128" s="138">
        <v>1</v>
      </c>
      <c r="AC128" s="139">
        <v>0.89694399005601633</v>
      </c>
      <c r="AD128" s="187">
        <v>1120</v>
      </c>
      <c r="AE128" s="138">
        <v>0</v>
      </c>
      <c r="AF128" s="139">
        <f t="shared" si="9"/>
        <v>0.7421203669467662</v>
      </c>
      <c r="AG128" s="236">
        <f t="shared" si="10"/>
        <v>0</v>
      </c>
    </row>
    <row r="129" spans="1:33">
      <c r="A129" s="60">
        <f t="shared" si="11"/>
        <v>122</v>
      </c>
      <c r="B129" s="96">
        <v>18227</v>
      </c>
      <c r="C129" s="97" t="s">
        <v>492</v>
      </c>
      <c r="D129" s="97" t="s">
        <v>171</v>
      </c>
      <c r="E129" s="97" t="s">
        <v>171</v>
      </c>
      <c r="F129" s="37" t="s">
        <v>382</v>
      </c>
      <c r="G129" s="97"/>
      <c r="H129" s="97"/>
      <c r="I129" s="97" t="s">
        <v>360</v>
      </c>
      <c r="J129" s="98">
        <v>3</v>
      </c>
      <c r="K129" s="98">
        <v>3</v>
      </c>
      <c r="L129" s="98">
        <v>2</v>
      </c>
      <c r="M129" s="98">
        <v>3</v>
      </c>
      <c r="N129" s="98">
        <v>3</v>
      </c>
      <c r="O129" s="98">
        <v>3</v>
      </c>
      <c r="P129" s="98">
        <v>4</v>
      </c>
      <c r="Q129" s="98">
        <v>3</v>
      </c>
      <c r="R129" s="99">
        <f t="shared" si="6"/>
        <v>2.9499999999999997</v>
      </c>
      <c r="S129" s="100">
        <f t="shared" si="7"/>
        <v>0.59000000000000008</v>
      </c>
      <c r="T129" s="101" t="str">
        <f t="shared" si="8"/>
        <v>Grade-C</v>
      </c>
      <c r="U129" s="102">
        <f>IFERROR(VLOOKUP(F129,[3]Database!F:G,2,0),0)</f>
        <v>700</v>
      </c>
      <c r="V129" s="102">
        <v>1</v>
      </c>
      <c r="W129" s="103">
        <v>0.89694399005601633</v>
      </c>
      <c r="X129" s="104">
        <v>380</v>
      </c>
      <c r="Y129" s="102">
        <v>1</v>
      </c>
      <c r="Z129" s="103">
        <v>0.89694399005601633</v>
      </c>
      <c r="AA129" s="104">
        <v>380</v>
      </c>
      <c r="AB129" s="102">
        <v>1</v>
      </c>
      <c r="AC129" s="103">
        <v>0.89694399005601633</v>
      </c>
      <c r="AD129" s="104">
        <v>380</v>
      </c>
      <c r="AE129" s="102">
        <v>1</v>
      </c>
      <c r="AF129" s="103">
        <f t="shared" si="9"/>
        <v>0.7421203669467662</v>
      </c>
      <c r="AG129" s="238">
        <f t="shared" si="10"/>
        <v>310</v>
      </c>
    </row>
    <row r="130" spans="1:33" s="8" customFormat="1">
      <c r="A130" s="60">
        <f t="shared" si="11"/>
        <v>123</v>
      </c>
      <c r="B130" s="61">
        <v>163</v>
      </c>
      <c r="C130" s="62" t="s">
        <v>121</v>
      </c>
      <c r="D130" s="62" t="s">
        <v>65</v>
      </c>
      <c r="E130" s="62" t="s">
        <v>314</v>
      </c>
      <c r="F130" s="36" t="s">
        <v>372</v>
      </c>
      <c r="G130" s="62"/>
      <c r="H130" s="62"/>
      <c r="I130" s="62" t="s">
        <v>360</v>
      </c>
      <c r="J130" s="77">
        <v>5</v>
      </c>
      <c r="K130" s="77">
        <v>4</v>
      </c>
      <c r="L130" s="77">
        <v>5</v>
      </c>
      <c r="M130" s="77">
        <v>5</v>
      </c>
      <c r="N130" s="77">
        <v>5</v>
      </c>
      <c r="O130" s="77">
        <v>5</v>
      </c>
      <c r="P130" s="77">
        <v>5</v>
      </c>
      <c r="Q130" s="77">
        <v>5</v>
      </c>
      <c r="R130" s="63">
        <f t="shared" si="6"/>
        <v>4.8</v>
      </c>
      <c r="S130" s="64">
        <f t="shared" si="7"/>
        <v>0.96</v>
      </c>
      <c r="T130" s="65" t="str">
        <f t="shared" si="8"/>
        <v>Grade-A</v>
      </c>
      <c r="U130" s="66">
        <f>IFERROR(VLOOKUP(F130,[3]Database!F:G,2,0),0)</f>
        <v>800</v>
      </c>
      <c r="V130" s="66">
        <v>1</v>
      </c>
      <c r="W130" s="84">
        <v>0.89694399005601633</v>
      </c>
      <c r="X130" s="89">
        <v>680</v>
      </c>
      <c r="Y130" s="66">
        <v>1</v>
      </c>
      <c r="Z130" s="84">
        <v>0.89694399005601633</v>
      </c>
      <c r="AA130" s="89">
        <v>680</v>
      </c>
      <c r="AB130" s="66">
        <v>1</v>
      </c>
      <c r="AC130" s="84">
        <v>0.89694399005601633</v>
      </c>
      <c r="AD130" s="89">
        <v>680</v>
      </c>
      <c r="AE130" s="66">
        <v>1</v>
      </c>
      <c r="AF130" s="84">
        <f t="shared" si="9"/>
        <v>0.7421203669467662</v>
      </c>
      <c r="AG130" s="234">
        <f t="shared" si="10"/>
        <v>570</v>
      </c>
    </row>
    <row r="131" spans="1:33">
      <c r="A131" s="60">
        <f t="shared" si="11"/>
        <v>124</v>
      </c>
      <c r="B131" s="61">
        <v>177</v>
      </c>
      <c r="C131" s="62" t="s">
        <v>122</v>
      </c>
      <c r="D131" s="62" t="s">
        <v>65</v>
      </c>
      <c r="E131" s="62" t="s">
        <v>314</v>
      </c>
      <c r="F131" s="36" t="s">
        <v>372</v>
      </c>
      <c r="G131" s="62"/>
      <c r="H131" s="62"/>
      <c r="I131" s="62" t="s">
        <v>360</v>
      </c>
      <c r="J131" s="77">
        <v>5</v>
      </c>
      <c r="K131" s="77">
        <v>4</v>
      </c>
      <c r="L131" s="77">
        <v>5</v>
      </c>
      <c r="M131" s="77">
        <v>5</v>
      </c>
      <c r="N131" s="77">
        <v>5</v>
      </c>
      <c r="O131" s="77">
        <v>5</v>
      </c>
      <c r="P131" s="77">
        <v>5</v>
      </c>
      <c r="Q131" s="77">
        <v>5</v>
      </c>
      <c r="R131" s="63">
        <f t="shared" si="6"/>
        <v>4.8</v>
      </c>
      <c r="S131" s="64">
        <f t="shared" si="7"/>
        <v>0.96</v>
      </c>
      <c r="T131" s="65" t="str">
        <f t="shared" si="8"/>
        <v>Grade-A</v>
      </c>
      <c r="U131" s="66">
        <f>IFERROR(VLOOKUP(F131,[3]Database!F:G,2,0),0)</f>
        <v>800</v>
      </c>
      <c r="V131" s="66">
        <v>1</v>
      </c>
      <c r="W131" s="84">
        <v>0.89694399005601633</v>
      </c>
      <c r="X131" s="89">
        <v>680</v>
      </c>
      <c r="Y131" s="66">
        <v>1</v>
      </c>
      <c r="Z131" s="84">
        <v>0.89694399005601633</v>
      </c>
      <c r="AA131" s="89">
        <v>680</v>
      </c>
      <c r="AB131" s="66">
        <v>1</v>
      </c>
      <c r="AC131" s="84">
        <v>0.89694399005601633</v>
      </c>
      <c r="AD131" s="89">
        <v>680</v>
      </c>
      <c r="AE131" s="66">
        <v>1</v>
      </c>
      <c r="AF131" s="84">
        <f t="shared" si="9"/>
        <v>0.7421203669467662</v>
      </c>
      <c r="AG131" s="234">
        <f t="shared" si="10"/>
        <v>570</v>
      </c>
    </row>
    <row r="132" spans="1:33" s="41" customFormat="1">
      <c r="A132" s="60">
        <f t="shared" si="11"/>
        <v>125</v>
      </c>
      <c r="B132" s="61">
        <v>426</v>
      </c>
      <c r="C132" s="62" t="s">
        <v>123</v>
      </c>
      <c r="D132" s="62" t="s">
        <v>65</v>
      </c>
      <c r="E132" s="62" t="s">
        <v>322</v>
      </c>
      <c r="F132" s="36" t="s">
        <v>372</v>
      </c>
      <c r="G132" s="62"/>
      <c r="H132" s="62"/>
      <c r="I132" s="62" t="s">
        <v>360</v>
      </c>
      <c r="J132" s="77">
        <v>5</v>
      </c>
      <c r="K132" s="77">
        <v>4</v>
      </c>
      <c r="L132" s="77">
        <v>5</v>
      </c>
      <c r="M132" s="77">
        <v>5</v>
      </c>
      <c r="N132" s="77">
        <v>5</v>
      </c>
      <c r="O132" s="77">
        <v>5</v>
      </c>
      <c r="P132" s="77">
        <v>5</v>
      </c>
      <c r="Q132" s="77">
        <v>5</v>
      </c>
      <c r="R132" s="63">
        <f t="shared" si="6"/>
        <v>4.8</v>
      </c>
      <c r="S132" s="64">
        <f t="shared" si="7"/>
        <v>0.96</v>
      </c>
      <c r="T132" s="65" t="str">
        <f t="shared" si="8"/>
        <v>Grade-A</v>
      </c>
      <c r="U132" s="66">
        <f>IFERROR(VLOOKUP(F132,[3]Database!F:G,2,0),0)</f>
        <v>800</v>
      </c>
      <c r="V132" s="66">
        <v>1</v>
      </c>
      <c r="W132" s="84">
        <v>0.89694399005601633</v>
      </c>
      <c r="X132" s="87">
        <v>680</v>
      </c>
      <c r="Y132" s="66">
        <v>1</v>
      </c>
      <c r="Z132" s="84">
        <v>0.89694399005601633</v>
      </c>
      <c r="AA132" s="87">
        <v>680</v>
      </c>
      <c r="AB132" s="66">
        <v>0.52</v>
      </c>
      <c r="AC132" s="84">
        <v>0.89694399005601633</v>
      </c>
      <c r="AD132" s="87">
        <v>360</v>
      </c>
      <c r="AE132" s="66">
        <v>1</v>
      </c>
      <c r="AF132" s="84">
        <f t="shared" si="9"/>
        <v>0.7421203669467662</v>
      </c>
      <c r="AG132" s="235">
        <f t="shared" si="10"/>
        <v>570</v>
      </c>
    </row>
    <row r="133" spans="1:33">
      <c r="A133" s="60">
        <f t="shared" si="11"/>
        <v>126</v>
      </c>
      <c r="B133" s="69">
        <v>15682</v>
      </c>
      <c r="C133" s="70" t="s">
        <v>124</v>
      </c>
      <c r="D133" s="70" t="s">
        <v>65</v>
      </c>
      <c r="E133" s="70" t="s">
        <v>314</v>
      </c>
      <c r="F133" s="83" t="s">
        <v>372</v>
      </c>
      <c r="G133" s="70"/>
      <c r="H133" s="70"/>
      <c r="I133" s="62" t="s">
        <v>360</v>
      </c>
      <c r="J133" s="77">
        <v>5</v>
      </c>
      <c r="K133" s="77">
        <v>5</v>
      </c>
      <c r="L133" s="77">
        <v>5</v>
      </c>
      <c r="M133" s="77">
        <v>5</v>
      </c>
      <c r="N133" s="77">
        <v>4</v>
      </c>
      <c r="O133" s="77">
        <v>4</v>
      </c>
      <c r="P133" s="77">
        <v>4</v>
      </c>
      <c r="Q133" s="77">
        <v>5</v>
      </c>
      <c r="R133" s="63">
        <f t="shared" si="6"/>
        <v>4.75</v>
      </c>
      <c r="S133" s="64">
        <f t="shared" si="7"/>
        <v>0.95</v>
      </c>
      <c r="T133" s="65" t="str">
        <f t="shared" si="8"/>
        <v>Grade-A</v>
      </c>
      <c r="U133" s="66">
        <f>IFERROR(VLOOKUP(F133,[3]Database!F:G,2,0),0)</f>
        <v>800</v>
      </c>
      <c r="V133" s="66">
        <v>1</v>
      </c>
      <c r="W133" s="91">
        <v>0.89694399005601633</v>
      </c>
      <c r="X133" s="89">
        <v>670</v>
      </c>
      <c r="Y133" s="66">
        <v>1</v>
      </c>
      <c r="Z133" s="91">
        <v>0.89694399005601633</v>
      </c>
      <c r="AA133" s="89">
        <v>670</v>
      </c>
      <c r="AB133" s="66">
        <v>1</v>
      </c>
      <c r="AC133" s="91">
        <v>0.89694399005601633</v>
      </c>
      <c r="AD133" s="89">
        <v>670</v>
      </c>
      <c r="AE133" s="66">
        <v>1</v>
      </c>
      <c r="AF133" s="91">
        <f t="shared" si="9"/>
        <v>0.7421203669467662</v>
      </c>
      <c r="AG133" s="234">
        <f t="shared" si="10"/>
        <v>570</v>
      </c>
    </row>
    <row r="134" spans="1:33">
      <c r="A134" s="60">
        <f t="shared" si="11"/>
        <v>127</v>
      </c>
      <c r="B134" s="61">
        <v>4253</v>
      </c>
      <c r="C134" s="62" t="s">
        <v>125</v>
      </c>
      <c r="D134" s="62" t="s">
        <v>65</v>
      </c>
      <c r="E134" s="62" t="s">
        <v>314</v>
      </c>
      <c r="F134" s="36" t="s">
        <v>372</v>
      </c>
      <c r="G134" s="62"/>
      <c r="H134" s="62"/>
      <c r="I134" s="62" t="s">
        <v>360</v>
      </c>
      <c r="J134" s="77">
        <v>5</v>
      </c>
      <c r="K134" s="77">
        <v>5</v>
      </c>
      <c r="L134" s="77">
        <v>4</v>
      </c>
      <c r="M134" s="77">
        <v>5</v>
      </c>
      <c r="N134" s="77">
        <v>5</v>
      </c>
      <c r="O134" s="77">
        <v>5</v>
      </c>
      <c r="P134" s="77">
        <v>5</v>
      </c>
      <c r="Q134" s="77">
        <v>4</v>
      </c>
      <c r="R134" s="63">
        <f t="shared" si="6"/>
        <v>4.8500000000000005</v>
      </c>
      <c r="S134" s="64">
        <f t="shared" si="7"/>
        <v>0.97</v>
      </c>
      <c r="T134" s="65" t="str">
        <f t="shared" si="8"/>
        <v>Grade-A</v>
      </c>
      <c r="U134" s="66">
        <f>IFERROR(VLOOKUP(F134,[3]Database!F:G,2,0),0)</f>
        <v>800</v>
      </c>
      <c r="V134" s="66">
        <v>1</v>
      </c>
      <c r="W134" s="84">
        <v>0.89694399005601633</v>
      </c>
      <c r="X134" s="89">
        <v>680</v>
      </c>
      <c r="Y134" s="66">
        <v>1</v>
      </c>
      <c r="Z134" s="84">
        <v>0.89694399005601633</v>
      </c>
      <c r="AA134" s="89">
        <v>680</v>
      </c>
      <c r="AB134" s="66">
        <v>1</v>
      </c>
      <c r="AC134" s="84">
        <v>0.89694399005601633</v>
      </c>
      <c r="AD134" s="89">
        <v>680</v>
      </c>
      <c r="AE134" s="66">
        <v>1</v>
      </c>
      <c r="AF134" s="84">
        <f t="shared" si="9"/>
        <v>0.7421203669467662</v>
      </c>
      <c r="AG134" s="234">
        <f t="shared" si="10"/>
        <v>580</v>
      </c>
    </row>
    <row r="135" spans="1:33" s="8" customFormat="1">
      <c r="A135" s="60">
        <f t="shared" si="11"/>
        <v>128</v>
      </c>
      <c r="B135" s="290">
        <v>4696</v>
      </c>
      <c r="C135" s="291" t="s">
        <v>126</v>
      </c>
      <c r="D135" s="291" t="s">
        <v>65</v>
      </c>
      <c r="E135" s="291" t="s">
        <v>323</v>
      </c>
      <c r="F135" s="250" t="s">
        <v>372</v>
      </c>
      <c r="G135" s="291"/>
      <c r="H135" s="291"/>
      <c r="I135" s="291" t="s">
        <v>775</v>
      </c>
      <c r="J135" s="323">
        <v>5</v>
      </c>
      <c r="K135" s="323">
        <v>5</v>
      </c>
      <c r="L135" s="323">
        <v>4</v>
      </c>
      <c r="M135" s="323">
        <v>5</v>
      </c>
      <c r="N135" s="323">
        <v>5</v>
      </c>
      <c r="O135" s="323">
        <v>4</v>
      </c>
      <c r="P135" s="323">
        <v>4</v>
      </c>
      <c r="Q135" s="323">
        <v>5</v>
      </c>
      <c r="R135" s="292">
        <f t="shared" si="6"/>
        <v>4.75</v>
      </c>
      <c r="S135" s="293">
        <f t="shared" si="7"/>
        <v>0.95</v>
      </c>
      <c r="T135" s="294" t="str">
        <f t="shared" si="8"/>
        <v>Grade-A</v>
      </c>
      <c r="U135" s="296">
        <f>IFERROR(VLOOKUP(F135,[3]Database!F:G,2,0),0)</f>
        <v>800</v>
      </c>
      <c r="V135" s="296">
        <v>1</v>
      </c>
      <c r="W135" s="297">
        <v>0.89694399005601633</v>
      </c>
      <c r="X135" s="326">
        <v>680</v>
      </c>
      <c r="Y135" s="296">
        <v>1</v>
      </c>
      <c r="Z135" s="297">
        <v>0.89694399005601633</v>
      </c>
      <c r="AA135" s="326">
        <v>680</v>
      </c>
      <c r="AB135" s="296">
        <v>1</v>
      </c>
      <c r="AC135" s="297">
        <v>0.89694399005601633</v>
      </c>
      <c r="AD135" s="326">
        <v>680</v>
      </c>
      <c r="AE135" s="296">
        <v>0.32</v>
      </c>
      <c r="AF135" s="297">
        <f t="shared" si="9"/>
        <v>0.7421203669467662</v>
      </c>
      <c r="AG135" s="327">
        <f t="shared" si="10"/>
        <v>190</v>
      </c>
    </row>
    <row r="136" spans="1:33" s="8" customFormat="1">
      <c r="A136" s="60">
        <f t="shared" si="11"/>
        <v>129</v>
      </c>
      <c r="B136" s="61">
        <v>4745</v>
      </c>
      <c r="C136" s="62" t="s">
        <v>127</v>
      </c>
      <c r="D136" s="62" t="s">
        <v>65</v>
      </c>
      <c r="E136" s="62" t="s">
        <v>323</v>
      </c>
      <c r="F136" s="36" t="s">
        <v>372</v>
      </c>
      <c r="G136" s="62"/>
      <c r="H136" s="62"/>
      <c r="I136" s="62" t="s">
        <v>360</v>
      </c>
      <c r="J136" s="77">
        <v>5</v>
      </c>
      <c r="K136" s="77">
        <v>4</v>
      </c>
      <c r="L136" s="77">
        <v>5</v>
      </c>
      <c r="M136" s="77">
        <v>5</v>
      </c>
      <c r="N136" s="77">
        <v>5</v>
      </c>
      <c r="O136" s="77">
        <v>5</v>
      </c>
      <c r="P136" s="77">
        <v>5</v>
      </c>
      <c r="Q136" s="77">
        <v>4</v>
      </c>
      <c r="R136" s="63">
        <f t="shared" ref="R136:R200" si="12">IF(B136&lt;&gt;"", J136*0.3 + K136*0.2 + L136*0.1 + M136*0.1 + N136*0.1 + O136*0.1 + P136*0.05 + Q136*0.05, "")</f>
        <v>4.75</v>
      </c>
      <c r="S136" s="64">
        <f t="shared" ref="S136:S200" si="13">IF(B136&lt;&gt;"", (($I$4/5)*J136) + (($J$4/5)*K136) + (($K$4/5)*L136) + (($L$4/5)*M136) + (($M$4/5)*N136) + (($N$4/5)*O136) + (($O$4/5)*P136) + (($P$4/5)*Q136), "")</f>
        <v>0.95</v>
      </c>
      <c r="T136" s="65" t="str">
        <f t="shared" ref="T136:T200" si="14">IF(B136&lt;&gt;"", IF(R136=0, "No-Grade",   IF(AND(R136&gt;=4.5, R136&lt;=5), "Grade-A",   IF(AND(R136&gt;=3, R136&lt;4.5), "Grade-B",   IF(AND(R136&gt;=2, R136&lt;3), "Grade-C",   IF(R136&lt;2, "Grade-D",   "Grade-D"))))), "")</f>
        <v>Grade-A</v>
      </c>
      <c r="U136" s="66">
        <f>IFERROR(VLOOKUP(F136,[3]Database!F:G,2,0),0)</f>
        <v>800</v>
      </c>
      <c r="V136" s="66">
        <v>1</v>
      </c>
      <c r="W136" s="84">
        <v>0.89694399005601633</v>
      </c>
      <c r="X136" s="87">
        <v>680</v>
      </c>
      <c r="Y136" s="66">
        <v>1</v>
      </c>
      <c r="Z136" s="84">
        <v>0.89694399005601633</v>
      </c>
      <c r="AA136" s="87">
        <v>680</v>
      </c>
      <c r="AB136" s="66">
        <v>1</v>
      </c>
      <c r="AC136" s="84">
        <v>0.89694399005601633</v>
      </c>
      <c r="AD136" s="87">
        <v>680</v>
      </c>
      <c r="AE136" s="66">
        <v>1</v>
      </c>
      <c r="AF136" s="84">
        <f t="shared" si="9"/>
        <v>0.7421203669467662</v>
      </c>
      <c r="AG136" s="235">
        <f t="shared" si="10"/>
        <v>570</v>
      </c>
    </row>
    <row r="137" spans="1:33" s="41" customFormat="1">
      <c r="A137" s="60">
        <f t="shared" si="11"/>
        <v>130</v>
      </c>
      <c r="B137" s="61">
        <v>7894</v>
      </c>
      <c r="C137" s="62" t="s">
        <v>128</v>
      </c>
      <c r="D137" s="62" t="s">
        <v>65</v>
      </c>
      <c r="E137" s="62" t="s">
        <v>314</v>
      </c>
      <c r="F137" s="36" t="s">
        <v>372</v>
      </c>
      <c r="G137" s="62"/>
      <c r="H137" s="62"/>
      <c r="I137" s="62" t="s">
        <v>360</v>
      </c>
      <c r="J137" s="77">
        <v>5</v>
      </c>
      <c r="K137" s="77">
        <v>4</v>
      </c>
      <c r="L137" s="77">
        <v>5</v>
      </c>
      <c r="M137" s="77">
        <v>5</v>
      </c>
      <c r="N137" s="77">
        <v>5</v>
      </c>
      <c r="O137" s="77">
        <v>5</v>
      </c>
      <c r="P137" s="77">
        <v>3</v>
      </c>
      <c r="Q137" s="77">
        <v>5</v>
      </c>
      <c r="R137" s="63">
        <f t="shared" si="12"/>
        <v>4.7</v>
      </c>
      <c r="S137" s="64">
        <f t="shared" si="13"/>
        <v>0.94</v>
      </c>
      <c r="T137" s="65" t="str">
        <f t="shared" si="14"/>
        <v>Grade-A</v>
      </c>
      <c r="U137" s="66">
        <f>IFERROR(VLOOKUP(F137,[3]Database!F:G,2,0),0)</f>
        <v>800</v>
      </c>
      <c r="V137" s="66">
        <v>1</v>
      </c>
      <c r="W137" s="84">
        <v>0.89694399005601633</v>
      </c>
      <c r="X137" s="87">
        <v>680</v>
      </c>
      <c r="Y137" s="66">
        <v>1</v>
      </c>
      <c r="Z137" s="84">
        <v>0.89694399005601633</v>
      </c>
      <c r="AA137" s="87">
        <v>680</v>
      </c>
      <c r="AB137" s="66">
        <v>1</v>
      </c>
      <c r="AC137" s="84">
        <v>0.89694399005601633</v>
      </c>
      <c r="AD137" s="87">
        <v>680</v>
      </c>
      <c r="AE137" s="66">
        <v>1</v>
      </c>
      <c r="AF137" s="84">
        <f t="shared" si="9"/>
        <v>0.7421203669467662</v>
      </c>
      <c r="AG137" s="235">
        <f t="shared" si="10"/>
        <v>560</v>
      </c>
    </row>
    <row r="138" spans="1:33">
      <c r="A138" s="60">
        <f t="shared" ref="A138:A201" si="15">A137+1</f>
        <v>131</v>
      </c>
      <c r="B138" s="69">
        <v>17504</v>
      </c>
      <c r="C138" s="70" t="s">
        <v>129</v>
      </c>
      <c r="D138" s="70" t="s">
        <v>65</v>
      </c>
      <c r="E138" s="70" t="s">
        <v>314</v>
      </c>
      <c r="F138" s="83" t="s">
        <v>372</v>
      </c>
      <c r="G138" s="70"/>
      <c r="H138" s="70"/>
      <c r="I138" s="62" t="s">
        <v>360</v>
      </c>
      <c r="J138" s="77">
        <v>5</v>
      </c>
      <c r="K138" s="77">
        <v>4</v>
      </c>
      <c r="L138" s="77">
        <v>5</v>
      </c>
      <c r="M138" s="77">
        <v>5</v>
      </c>
      <c r="N138" s="77">
        <v>5</v>
      </c>
      <c r="O138" s="77">
        <v>5</v>
      </c>
      <c r="P138" s="77">
        <v>5</v>
      </c>
      <c r="Q138" s="77">
        <v>5</v>
      </c>
      <c r="R138" s="63">
        <f t="shared" si="12"/>
        <v>4.8</v>
      </c>
      <c r="S138" s="64">
        <f t="shared" si="13"/>
        <v>0.96</v>
      </c>
      <c r="T138" s="65" t="str">
        <f t="shared" si="14"/>
        <v>Grade-A</v>
      </c>
      <c r="U138" s="66">
        <f>IFERROR(VLOOKUP(F138,[3]Database!F:G,2,0),0)</f>
        <v>800</v>
      </c>
      <c r="V138" s="66">
        <v>1</v>
      </c>
      <c r="W138" s="91">
        <v>0.89694399005601633</v>
      </c>
      <c r="X138" s="89">
        <v>540</v>
      </c>
      <c r="Y138" s="66">
        <v>1</v>
      </c>
      <c r="Z138" s="91">
        <v>0.89694399005601633</v>
      </c>
      <c r="AA138" s="89">
        <v>540</v>
      </c>
      <c r="AB138" s="66">
        <v>1</v>
      </c>
      <c r="AC138" s="91">
        <v>0.89694399005601633</v>
      </c>
      <c r="AD138" s="89">
        <v>540</v>
      </c>
      <c r="AE138" s="66">
        <v>1</v>
      </c>
      <c r="AF138" s="91">
        <f t="shared" ref="AF138:AF201" si="16">$AG$6/$AF$6</f>
        <v>0.7421203669467662</v>
      </c>
      <c r="AG138" s="234">
        <f t="shared" ref="AG138:AG201" si="17">CEILING(S138*U138*AE138*AF138,10)</f>
        <v>570</v>
      </c>
    </row>
    <row r="139" spans="1:33" s="8" customFormat="1">
      <c r="A139" s="60">
        <f t="shared" si="15"/>
        <v>132</v>
      </c>
      <c r="B139" s="61">
        <v>25382</v>
      </c>
      <c r="C139" s="62" t="s">
        <v>614</v>
      </c>
      <c r="D139" s="62" t="s">
        <v>65</v>
      </c>
      <c r="E139" s="62" t="s">
        <v>314</v>
      </c>
      <c r="F139" s="36" t="s">
        <v>372</v>
      </c>
      <c r="G139" s="62"/>
      <c r="H139" s="62"/>
      <c r="I139" s="62" t="s">
        <v>360</v>
      </c>
      <c r="J139" s="77">
        <v>5</v>
      </c>
      <c r="K139" s="77">
        <v>5</v>
      </c>
      <c r="L139" s="77">
        <v>4</v>
      </c>
      <c r="M139" s="77">
        <v>4</v>
      </c>
      <c r="N139" s="77">
        <v>4</v>
      </c>
      <c r="O139" s="77">
        <v>4</v>
      </c>
      <c r="P139" s="77">
        <v>4</v>
      </c>
      <c r="Q139" s="77">
        <v>4</v>
      </c>
      <c r="R139" s="63">
        <f t="shared" si="12"/>
        <v>4.5</v>
      </c>
      <c r="S139" s="64">
        <f t="shared" si="13"/>
        <v>0.89999999999999991</v>
      </c>
      <c r="T139" s="65" t="str">
        <f t="shared" si="14"/>
        <v>Grade-A</v>
      </c>
      <c r="U139" s="66">
        <f>IFERROR(VLOOKUP(F139,[3]Database!F:G,2,0),0)</f>
        <v>800</v>
      </c>
      <c r="V139" s="66">
        <v>0</v>
      </c>
      <c r="W139" s="84">
        <v>0.89694399005601633</v>
      </c>
      <c r="X139" s="87">
        <v>0</v>
      </c>
      <c r="Y139" s="66">
        <v>0</v>
      </c>
      <c r="Z139" s="84">
        <v>0.89694399005601633</v>
      </c>
      <c r="AA139" s="87">
        <v>0</v>
      </c>
      <c r="AB139" s="66">
        <v>0</v>
      </c>
      <c r="AC139" s="84">
        <v>0.89694399005601633</v>
      </c>
      <c r="AD139" s="87">
        <v>0</v>
      </c>
      <c r="AE139" s="66">
        <v>1</v>
      </c>
      <c r="AF139" s="84">
        <f t="shared" si="16"/>
        <v>0.7421203669467662</v>
      </c>
      <c r="AG139" s="235">
        <f t="shared" si="17"/>
        <v>540</v>
      </c>
    </row>
    <row r="140" spans="1:33">
      <c r="A140" s="60">
        <f t="shared" si="15"/>
        <v>133</v>
      </c>
      <c r="B140" s="61">
        <v>17707</v>
      </c>
      <c r="C140" s="62" t="s">
        <v>130</v>
      </c>
      <c r="D140" s="62" t="s">
        <v>65</v>
      </c>
      <c r="E140" s="62" t="s">
        <v>314</v>
      </c>
      <c r="F140" s="36" t="s">
        <v>372</v>
      </c>
      <c r="G140" s="62"/>
      <c r="H140" s="62"/>
      <c r="I140" s="62" t="s">
        <v>360</v>
      </c>
      <c r="J140" s="77">
        <v>4</v>
      </c>
      <c r="K140" s="77">
        <v>5</v>
      </c>
      <c r="L140" s="77">
        <v>4</v>
      </c>
      <c r="M140" s="77">
        <v>5</v>
      </c>
      <c r="N140" s="77">
        <v>5</v>
      </c>
      <c r="O140" s="77">
        <v>5</v>
      </c>
      <c r="P140" s="77">
        <v>5</v>
      </c>
      <c r="Q140" s="77">
        <v>5</v>
      </c>
      <c r="R140" s="63">
        <f t="shared" si="12"/>
        <v>4.5999999999999996</v>
      </c>
      <c r="S140" s="64">
        <f t="shared" si="13"/>
        <v>0.92</v>
      </c>
      <c r="T140" s="65" t="str">
        <f t="shared" si="14"/>
        <v>Grade-A</v>
      </c>
      <c r="U140" s="66">
        <f>IFERROR(VLOOKUP(F140,[3]Database!F:G,2,0),0)</f>
        <v>800</v>
      </c>
      <c r="V140" s="66">
        <v>0.74</v>
      </c>
      <c r="W140" s="84">
        <v>0.89694399005601633</v>
      </c>
      <c r="X140" s="87">
        <v>490</v>
      </c>
      <c r="Y140" s="66">
        <v>0</v>
      </c>
      <c r="Z140" s="84">
        <v>0.89694399005601633</v>
      </c>
      <c r="AA140" s="87">
        <v>0</v>
      </c>
      <c r="AB140" s="66">
        <v>0.42</v>
      </c>
      <c r="AC140" s="84">
        <v>0.89694399005601633</v>
      </c>
      <c r="AD140" s="87">
        <v>280</v>
      </c>
      <c r="AE140" s="66">
        <v>1</v>
      </c>
      <c r="AF140" s="84">
        <f t="shared" si="16"/>
        <v>0.7421203669467662</v>
      </c>
      <c r="AG140" s="235">
        <f t="shared" si="17"/>
        <v>550</v>
      </c>
    </row>
    <row r="141" spans="1:33">
      <c r="A141" s="60">
        <f t="shared" si="15"/>
        <v>134</v>
      </c>
      <c r="B141" s="61">
        <v>17842</v>
      </c>
      <c r="C141" s="62" t="s">
        <v>131</v>
      </c>
      <c r="D141" s="62" t="s">
        <v>65</v>
      </c>
      <c r="E141" s="62" t="s">
        <v>314</v>
      </c>
      <c r="F141" s="36" t="s">
        <v>372</v>
      </c>
      <c r="G141" s="62"/>
      <c r="H141" s="62"/>
      <c r="I141" s="62" t="s">
        <v>360</v>
      </c>
      <c r="J141" s="77">
        <v>5</v>
      </c>
      <c r="K141" s="71">
        <v>5</v>
      </c>
      <c r="L141" s="71">
        <v>5</v>
      </c>
      <c r="M141" s="71">
        <v>4</v>
      </c>
      <c r="N141" s="71">
        <v>4</v>
      </c>
      <c r="O141" s="71">
        <v>4</v>
      </c>
      <c r="P141" s="71">
        <v>5</v>
      </c>
      <c r="Q141" s="71">
        <v>4</v>
      </c>
      <c r="R141" s="63">
        <f t="shared" si="12"/>
        <v>4.6500000000000004</v>
      </c>
      <c r="S141" s="64">
        <f t="shared" si="13"/>
        <v>0.92999999999999994</v>
      </c>
      <c r="T141" s="65" t="str">
        <f t="shared" si="14"/>
        <v>Grade-A</v>
      </c>
      <c r="U141" s="66">
        <f>IFERROR(VLOOKUP(F141,[3]Database!F:G,2,0),0)</f>
        <v>800</v>
      </c>
      <c r="V141" s="66">
        <v>1</v>
      </c>
      <c r="W141" s="84">
        <v>0.89694399005601633</v>
      </c>
      <c r="X141" s="89">
        <v>670</v>
      </c>
      <c r="Y141" s="66">
        <v>0.97</v>
      </c>
      <c r="Z141" s="84">
        <v>0.89694399005601633</v>
      </c>
      <c r="AA141" s="89">
        <v>650</v>
      </c>
      <c r="AB141" s="66">
        <v>1</v>
      </c>
      <c r="AC141" s="84">
        <v>0.89694399005601633</v>
      </c>
      <c r="AD141" s="89">
        <v>670</v>
      </c>
      <c r="AE141" s="90">
        <v>0.97</v>
      </c>
      <c r="AF141" s="84">
        <f t="shared" si="16"/>
        <v>0.7421203669467662</v>
      </c>
      <c r="AG141" s="234">
        <f t="shared" si="17"/>
        <v>540</v>
      </c>
    </row>
    <row r="142" spans="1:33" s="8" customFormat="1">
      <c r="A142" s="60">
        <f t="shared" si="15"/>
        <v>135</v>
      </c>
      <c r="B142" s="290">
        <v>7184</v>
      </c>
      <c r="C142" s="291" t="s">
        <v>132</v>
      </c>
      <c r="D142" s="291" t="s">
        <v>65</v>
      </c>
      <c r="E142" s="291" t="s">
        <v>322</v>
      </c>
      <c r="F142" s="250" t="s">
        <v>372</v>
      </c>
      <c r="G142" s="291"/>
      <c r="H142" s="291"/>
      <c r="I142" s="291" t="s">
        <v>783</v>
      </c>
      <c r="J142" s="323">
        <v>5</v>
      </c>
      <c r="K142" s="323">
        <v>5</v>
      </c>
      <c r="L142" s="323">
        <v>5</v>
      </c>
      <c r="M142" s="323">
        <v>5</v>
      </c>
      <c r="N142" s="323">
        <v>5</v>
      </c>
      <c r="O142" s="323">
        <v>5</v>
      </c>
      <c r="P142" s="323">
        <v>3</v>
      </c>
      <c r="Q142" s="323">
        <v>4</v>
      </c>
      <c r="R142" s="292">
        <f t="shared" si="12"/>
        <v>4.8500000000000005</v>
      </c>
      <c r="S142" s="293">
        <f t="shared" si="13"/>
        <v>0.97</v>
      </c>
      <c r="T142" s="294" t="str">
        <f t="shared" si="14"/>
        <v>Grade-A</v>
      </c>
      <c r="U142" s="296">
        <f>IFERROR(VLOOKUP(F142,[3]Database!F:G,2,0),0)</f>
        <v>800</v>
      </c>
      <c r="V142" s="296">
        <v>1</v>
      </c>
      <c r="W142" s="297">
        <v>0.89694399005601633</v>
      </c>
      <c r="X142" s="326">
        <v>680</v>
      </c>
      <c r="Y142" s="296">
        <v>1</v>
      </c>
      <c r="Z142" s="297">
        <v>0.89694399005601633</v>
      </c>
      <c r="AA142" s="326">
        <v>680</v>
      </c>
      <c r="AB142" s="296">
        <v>1</v>
      </c>
      <c r="AC142" s="297">
        <v>0.89694399005601633</v>
      </c>
      <c r="AD142" s="326">
        <v>680</v>
      </c>
      <c r="AE142" s="296">
        <v>0.23</v>
      </c>
      <c r="AF142" s="297">
        <f t="shared" si="16"/>
        <v>0.7421203669467662</v>
      </c>
      <c r="AG142" s="327">
        <f t="shared" si="17"/>
        <v>140</v>
      </c>
    </row>
    <row r="143" spans="1:33">
      <c r="A143" s="60">
        <f t="shared" si="15"/>
        <v>136</v>
      </c>
      <c r="B143" s="61">
        <v>7874</v>
      </c>
      <c r="C143" s="62" t="s">
        <v>133</v>
      </c>
      <c r="D143" s="62" t="s">
        <v>65</v>
      </c>
      <c r="E143" s="62" t="s">
        <v>324</v>
      </c>
      <c r="F143" s="36" t="s">
        <v>375</v>
      </c>
      <c r="G143" s="62"/>
      <c r="H143" s="62"/>
      <c r="I143" s="62" t="s">
        <v>360</v>
      </c>
      <c r="J143" s="77">
        <v>5</v>
      </c>
      <c r="K143" s="77">
        <v>5</v>
      </c>
      <c r="L143" s="77">
        <v>5</v>
      </c>
      <c r="M143" s="77">
        <v>5</v>
      </c>
      <c r="N143" s="77">
        <v>4</v>
      </c>
      <c r="O143" s="77">
        <v>4</v>
      </c>
      <c r="P143" s="77">
        <v>5</v>
      </c>
      <c r="Q143" s="77">
        <v>4</v>
      </c>
      <c r="R143" s="63">
        <f t="shared" si="12"/>
        <v>4.75</v>
      </c>
      <c r="S143" s="64">
        <f t="shared" si="13"/>
        <v>0.95</v>
      </c>
      <c r="T143" s="65" t="str">
        <f t="shared" si="14"/>
        <v>Grade-A</v>
      </c>
      <c r="U143" s="66">
        <f>IFERROR(VLOOKUP(F143,[3]Database!F:G,2,0),0)</f>
        <v>800</v>
      </c>
      <c r="V143" s="66">
        <v>1</v>
      </c>
      <c r="W143" s="84">
        <v>0.89694399005601633</v>
      </c>
      <c r="X143" s="87">
        <v>680</v>
      </c>
      <c r="Y143" s="66">
        <v>1</v>
      </c>
      <c r="Z143" s="84">
        <v>0.89694399005601633</v>
      </c>
      <c r="AA143" s="87">
        <v>680</v>
      </c>
      <c r="AB143" s="66">
        <v>1</v>
      </c>
      <c r="AC143" s="84">
        <v>0.89694399005601633</v>
      </c>
      <c r="AD143" s="87">
        <v>680</v>
      </c>
      <c r="AE143" s="66">
        <v>1</v>
      </c>
      <c r="AF143" s="84">
        <f t="shared" si="16"/>
        <v>0.7421203669467662</v>
      </c>
      <c r="AG143" s="235">
        <f t="shared" si="17"/>
        <v>570</v>
      </c>
    </row>
    <row r="144" spans="1:33" s="8" customFormat="1">
      <c r="A144" s="60">
        <f t="shared" si="15"/>
        <v>137</v>
      </c>
      <c r="B144" s="61">
        <v>19405</v>
      </c>
      <c r="C144" s="62" t="s">
        <v>493</v>
      </c>
      <c r="D144" s="62" t="s">
        <v>32</v>
      </c>
      <c r="E144" s="62" t="s">
        <v>314</v>
      </c>
      <c r="F144" s="36" t="s">
        <v>372</v>
      </c>
      <c r="G144" s="62"/>
      <c r="H144" s="62"/>
      <c r="I144" s="62" t="s">
        <v>765</v>
      </c>
      <c r="J144" s="77">
        <v>5</v>
      </c>
      <c r="K144" s="77">
        <v>4</v>
      </c>
      <c r="L144" s="77">
        <v>5</v>
      </c>
      <c r="M144" s="77">
        <v>5</v>
      </c>
      <c r="N144" s="77">
        <v>4</v>
      </c>
      <c r="O144" s="77">
        <v>3</v>
      </c>
      <c r="P144" s="77">
        <v>5</v>
      </c>
      <c r="Q144" s="77">
        <v>5</v>
      </c>
      <c r="R144" s="63">
        <f t="shared" si="12"/>
        <v>4.5</v>
      </c>
      <c r="S144" s="64">
        <f t="shared" si="13"/>
        <v>0.89999999999999991</v>
      </c>
      <c r="T144" s="65" t="str">
        <f t="shared" si="14"/>
        <v>Grade-A</v>
      </c>
      <c r="U144" s="66">
        <f>IFERROR(VLOOKUP(F144,[3]Database!F:G,2,0),0)</f>
        <v>800</v>
      </c>
      <c r="V144" s="66">
        <v>1</v>
      </c>
      <c r="W144" s="84">
        <v>0.89694399005601633</v>
      </c>
      <c r="X144" s="87">
        <v>680</v>
      </c>
      <c r="Y144" s="66">
        <v>1</v>
      </c>
      <c r="Z144" s="84">
        <v>0.89694399005601633</v>
      </c>
      <c r="AA144" s="87">
        <v>680</v>
      </c>
      <c r="AB144" s="66">
        <v>1</v>
      </c>
      <c r="AC144" s="84">
        <v>0.89694399005601633</v>
      </c>
      <c r="AD144" s="87">
        <v>680</v>
      </c>
      <c r="AE144" s="66">
        <v>0.13</v>
      </c>
      <c r="AF144" s="84">
        <f t="shared" si="16"/>
        <v>0.7421203669467662</v>
      </c>
      <c r="AG144" s="235">
        <f t="shared" si="17"/>
        <v>70</v>
      </c>
    </row>
    <row r="145" spans="1:33">
      <c r="A145" s="60">
        <f t="shared" si="15"/>
        <v>138</v>
      </c>
      <c r="B145" s="61">
        <v>3596</v>
      </c>
      <c r="C145" s="62" t="s">
        <v>494</v>
      </c>
      <c r="D145" s="62" t="s">
        <v>65</v>
      </c>
      <c r="E145" s="62" t="s">
        <v>314</v>
      </c>
      <c r="F145" s="36" t="s">
        <v>372</v>
      </c>
      <c r="G145" s="62"/>
      <c r="H145" s="62"/>
      <c r="I145" s="62" t="s">
        <v>360</v>
      </c>
      <c r="J145" s="77">
        <v>4</v>
      </c>
      <c r="K145" s="77">
        <v>5</v>
      </c>
      <c r="L145" s="77">
        <v>4</v>
      </c>
      <c r="M145" s="77">
        <v>5</v>
      </c>
      <c r="N145" s="77">
        <v>5</v>
      </c>
      <c r="O145" s="77">
        <v>5</v>
      </c>
      <c r="P145" s="77">
        <v>5</v>
      </c>
      <c r="Q145" s="77">
        <v>5</v>
      </c>
      <c r="R145" s="63">
        <f t="shared" si="12"/>
        <v>4.5999999999999996</v>
      </c>
      <c r="S145" s="64">
        <f t="shared" si="13"/>
        <v>0.92</v>
      </c>
      <c r="T145" s="65" t="str">
        <f t="shared" si="14"/>
        <v>Grade-A</v>
      </c>
      <c r="U145" s="66">
        <f>IFERROR(VLOOKUP(F145,[3]Database!F:G,2,0),0)</f>
        <v>800</v>
      </c>
      <c r="V145" s="66">
        <v>1</v>
      </c>
      <c r="W145" s="84">
        <v>0.89694399005601633</v>
      </c>
      <c r="X145" s="87">
        <v>680</v>
      </c>
      <c r="Y145" s="66">
        <v>1</v>
      </c>
      <c r="Z145" s="84">
        <v>0.89694399005601633</v>
      </c>
      <c r="AA145" s="87">
        <v>680</v>
      </c>
      <c r="AB145" s="66">
        <v>1</v>
      </c>
      <c r="AC145" s="84">
        <v>0.89694399005601633</v>
      </c>
      <c r="AD145" s="87">
        <v>680</v>
      </c>
      <c r="AE145" s="66">
        <v>1</v>
      </c>
      <c r="AF145" s="84">
        <f t="shared" si="16"/>
        <v>0.7421203669467662</v>
      </c>
      <c r="AG145" s="235">
        <f t="shared" si="17"/>
        <v>550</v>
      </c>
    </row>
    <row r="146" spans="1:33" s="92" customFormat="1">
      <c r="A146" s="60">
        <f t="shared" si="15"/>
        <v>139</v>
      </c>
      <c r="B146" s="61">
        <v>19413</v>
      </c>
      <c r="C146" s="62" t="s">
        <v>134</v>
      </c>
      <c r="D146" s="62" t="s">
        <v>32</v>
      </c>
      <c r="E146" s="62" t="s">
        <v>326</v>
      </c>
      <c r="F146" s="36" t="s">
        <v>376</v>
      </c>
      <c r="G146" s="62"/>
      <c r="H146" s="62"/>
      <c r="I146" s="62" t="s">
        <v>360</v>
      </c>
      <c r="J146" s="77">
        <v>5</v>
      </c>
      <c r="K146" s="77">
        <v>5</v>
      </c>
      <c r="L146" s="77">
        <v>5</v>
      </c>
      <c r="M146" s="77">
        <v>5</v>
      </c>
      <c r="N146" s="77">
        <v>5</v>
      </c>
      <c r="O146" s="77">
        <v>4</v>
      </c>
      <c r="P146" s="77">
        <v>5</v>
      </c>
      <c r="Q146" s="77">
        <v>4</v>
      </c>
      <c r="R146" s="63">
        <f t="shared" si="12"/>
        <v>4.8500000000000005</v>
      </c>
      <c r="S146" s="64">
        <f t="shared" si="13"/>
        <v>0.97</v>
      </c>
      <c r="T146" s="65" t="str">
        <f t="shared" si="14"/>
        <v>Grade-A</v>
      </c>
      <c r="U146" s="66">
        <f>IFERROR(VLOOKUP(F146,[3]Database!F:G,2,0),0)</f>
        <v>700</v>
      </c>
      <c r="V146" s="66">
        <v>1</v>
      </c>
      <c r="W146" s="84">
        <v>0.89694399005601633</v>
      </c>
      <c r="X146" s="89">
        <v>600</v>
      </c>
      <c r="Y146" s="66">
        <v>1</v>
      </c>
      <c r="Z146" s="84">
        <v>0.89694399005601633</v>
      </c>
      <c r="AA146" s="89">
        <v>600</v>
      </c>
      <c r="AB146" s="66">
        <v>1</v>
      </c>
      <c r="AC146" s="84">
        <v>0.89694399005601633</v>
      </c>
      <c r="AD146" s="89">
        <v>600</v>
      </c>
      <c r="AE146" s="66">
        <v>1</v>
      </c>
      <c r="AF146" s="84">
        <f t="shared" si="16"/>
        <v>0.7421203669467662</v>
      </c>
      <c r="AG146" s="234">
        <f t="shared" si="17"/>
        <v>510</v>
      </c>
    </row>
    <row r="147" spans="1:33">
      <c r="A147" s="60">
        <f t="shared" si="15"/>
        <v>140</v>
      </c>
      <c r="B147" s="69">
        <v>19399</v>
      </c>
      <c r="C147" s="70" t="s">
        <v>495</v>
      </c>
      <c r="D147" s="70" t="s">
        <v>32</v>
      </c>
      <c r="E147" s="70" t="s">
        <v>324</v>
      </c>
      <c r="F147" s="83" t="s">
        <v>376</v>
      </c>
      <c r="G147" s="70"/>
      <c r="H147" s="70"/>
      <c r="I147" s="62" t="s">
        <v>360</v>
      </c>
      <c r="J147" s="77">
        <v>5</v>
      </c>
      <c r="K147" s="77">
        <v>5</v>
      </c>
      <c r="L147" s="77">
        <v>5</v>
      </c>
      <c r="M147" s="77">
        <v>5</v>
      </c>
      <c r="N147" s="77">
        <v>4</v>
      </c>
      <c r="O147" s="77">
        <v>4</v>
      </c>
      <c r="P147" s="77">
        <v>4</v>
      </c>
      <c r="Q147" s="77">
        <v>5</v>
      </c>
      <c r="R147" s="63">
        <f t="shared" si="12"/>
        <v>4.75</v>
      </c>
      <c r="S147" s="64">
        <f t="shared" si="13"/>
        <v>0.95</v>
      </c>
      <c r="T147" s="65" t="str">
        <f t="shared" si="14"/>
        <v>Grade-A</v>
      </c>
      <c r="U147" s="66">
        <f>IFERROR(VLOOKUP(F147,[3]Database!F:G,2,0),0)</f>
        <v>700</v>
      </c>
      <c r="V147" s="90">
        <v>0.3</v>
      </c>
      <c r="W147" s="91">
        <v>0.89694399005601633</v>
      </c>
      <c r="X147" s="89">
        <v>180</v>
      </c>
      <c r="Y147" s="90">
        <v>1</v>
      </c>
      <c r="Z147" s="91">
        <v>0.89694399005601633</v>
      </c>
      <c r="AA147" s="89">
        <v>600</v>
      </c>
      <c r="AB147" s="90">
        <v>0.97</v>
      </c>
      <c r="AC147" s="91">
        <v>0.89694399005601633</v>
      </c>
      <c r="AD147" s="89">
        <v>580</v>
      </c>
      <c r="AE147" s="90">
        <v>1</v>
      </c>
      <c r="AF147" s="91">
        <f t="shared" si="16"/>
        <v>0.7421203669467662</v>
      </c>
      <c r="AG147" s="234">
        <f t="shared" si="17"/>
        <v>500</v>
      </c>
    </row>
    <row r="148" spans="1:33">
      <c r="A148" s="60">
        <f t="shared" si="15"/>
        <v>141</v>
      </c>
      <c r="B148" s="61">
        <v>19683</v>
      </c>
      <c r="C148" s="62" t="s">
        <v>496</v>
      </c>
      <c r="D148" s="62" t="s">
        <v>32</v>
      </c>
      <c r="E148" s="62" t="s">
        <v>324</v>
      </c>
      <c r="F148" s="36" t="s">
        <v>376</v>
      </c>
      <c r="G148" s="62"/>
      <c r="H148" s="62"/>
      <c r="I148" s="62" t="s">
        <v>360</v>
      </c>
      <c r="J148" s="71">
        <v>5</v>
      </c>
      <c r="K148" s="71">
        <v>5</v>
      </c>
      <c r="L148" s="71">
        <v>3</v>
      </c>
      <c r="M148" s="71">
        <v>4</v>
      </c>
      <c r="N148" s="71">
        <v>4</v>
      </c>
      <c r="O148" s="71">
        <v>5</v>
      </c>
      <c r="P148" s="71">
        <v>4</v>
      </c>
      <c r="Q148" s="71">
        <v>4</v>
      </c>
      <c r="R148" s="63">
        <f t="shared" si="12"/>
        <v>4.5</v>
      </c>
      <c r="S148" s="64">
        <f t="shared" si="13"/>
        <v>0.9</v>
      </c>
      <c r="T148" s="65" t="str">
        <f t="shared" si="14"/>
        <v>Grade-A</v>
      </c>
      <c r="U148" s="66">
        <f>IFERROR(VLOOKUP(F148,[3]Database!F:G,2,0),0)</f>
        <v>700</v>
      </c>
      <c r="V148" s="66">
        <v>1</v>
      </c>
      <c r="W148" s="84">
        <v>0.89694399005601633</v>
      </c>
      <c r="X148" s="89">
        <v>440</v>
      </c>
      <c r="Y148" s="66">
        <v>0.97</v>
      </c>
      <c r="Z148" s="84">
        <v>0.89694399005601633</v>
      </c>
      <c r="AA148" s="89">
        <v>430</v>
      </c>
      <c r="AB148" s="66">
        <v>1</v>
      </c>
      <c r="AC148" s="84">
        <v>0.89694399005601633</v>
      </c>
      <c r="AD148" s="89">
        <v>440</v>
      </c>
      <c r="AE148" s="90">
        <v>1</v>
      </c>
      <c r="AF148" s="84">
        <f t="shared" si="16"/>
        <v>0.7421203669467662</v>
      </c>
      <c r="AG148" s="234">
        <f t="shared" si="17"/>
        <v>470</v>
      </c>
    </row>
    <row r="149" spans="1:33">
      <c r="A149" s="60">
        <f t="shared" si="15"/>
        <v>142</v>
      </c>
      <c r="B149" s="61">
        <v>18336</v>
      </c>
      <c r="C149" s="62" t="s">
        <v>497</v>
      </c>
      <c r="D149" s="62" t="s">
        <v>32</v>
      </c>
      <c r="E149" s="62" t="s">
        <v>314</v>
      </c>
      <c r="F149" s="36" t="s">
        <v>372</v>
      </c>
      <c r="G149" s="62"/>
      <c r="H149" s="62"/>
      <c r="I149" s="62" t="s">
        <v>360</v>
      </c>
      <c r="J149" s="77">
        <v>4</v>
      </c>
      <c r="K149" s="77">
        <v>5</v>
      </c>
      <c r="L149" s="77">
        <v>4</v>
      </c>
      <c r="M149" s="77">
        <v>5</v>
      </c>
      <c r="N149" s="77">
        <v>5</v>
      </c>
      <c r="O149" s="77">
        <v>5</v>
      </c>
      <c r="P149" s="77">
        <v>4</v>
      </c>
      <c r="Q149" s="77">
        <v>4</v>
      </c>
      <c r="R149" s="63">
        <f t="shared" si="12"/>
        <v>4.5</v>
      </c>
      <c r="S149" s="64">
        <f t="shared" si="13"/>
        <v>0.9</v>
      </c>
      <c r="T149" s="65" t="str">
        <f t="shared" si="14"/>
        <v>Grade-A</v>
      </c>
      <c r="U149" s="66">
        <f>IFERROR(VLOOKUP(F149,[3]Database!F:G,2,0),0)</f>
        <v>800</v>
      </c>
      <c r="V149" s="66">
        <v>1</v>
      </c>
      <c r="W149" s="84">
        <v>0.89694399005601633</v>
      </c>
      <c r="X149" s="89">
        <v>670</v>
      </c>
      <c r="Y149" s="66">
        <v>1</v>
      </c>
      <c r="Z149" s="84">
        <v>0.89694399005601633</v>
      </c>
      <c r="AA149" s="89">
        <v>670</v>
      </c>
      <c r="AB149" s="66">
        <v>1</v>
      </c>
      <c r="AC149" s="84">
        <v>0.89694399005601633</v>
      </c>
      <c r="AD149" s="89">
        <v>670</v>
      </c>
      <c r="AE149" s="66">
        <v>1</v>
      </c>
      <c r="AF149" s="84">
        <f t="shared" si="16"/>
        <v>0.7421203669467662</v>
      </c>
      <c r="AG149" s="234">
        <f t="shared" si="17"/>
        <v>540</v>
      </c>
    </row>
    <row r="150" spans="1:33">
      <c r="A150" s="60">
        <f t="shared" si="15"/>
        <v>143</v>
      </c>
      <c r="B150" s="61">
        <v>18675</v>
      </c>
      <c r="C150" s="62" t="s">
        <v>498</v>
      </c>
      <c r="D150" s="62" t="s">
        <v>32</v>
      </c>
      <c r="E150" s="62" t="s">
        <v>324</v>
      </c>
      <c r="F150" s="36" t="s">
        <v>383</v>
      </c>
      <c r="G150" s="62"/>
      <c r="H150" s="62"/>
      <c r="I150" s="62" t="s">
        <v>360</v>
      </c>
      <c r="J150" s="77">
        <v>5</v>
      </c>
      <c r="K150" s="77">
        <v>5</v>
      </c>
      <c r="L150" s="77">
        <v>5</v>
      </c>
      <c r="M150" s="77">
        <v>5</v>
      </c>
      <c r="N150" s="77">
        <v>5</v>
      </c>
      <c r="O150" s="77">
        <v>4</v>
      </c>
      <c r="P150" s="77">
        <v>3</v>
      </c>
      <c r="Q150" s="77">
        <v>4</v>
      </c>
      <c r="R150" s="63">
        <f t="shared" si="12"/>
        <v>4.7500000000000009</v>
      </c>
      <c r="S150" s="64">
        <f t="shared" si="13"/>
        <v>0.95</v>
      </c>
      <c r="T150" s="65" t="str">
        <f t="shared" si="14"/>
        <v>Grade-A</v>
      </c>
      <c r="U150" s="66">
        <f>IFERROR(VLOOKUP(F150,[3]Database!F:G,2,0),0)</f>
        <v>700</v>
      </c>
      <c r="V150" s="66">
        <v>1</v>
      </c>
      <c r="W150" s="84">
        <v>0.89694399005601633</v>
      </c>
      <c r="X150" s="89">
        <v>580</v>
      </c>
      <c r="Y150" s="66">
        <v>1</v>
      </c>
      <c r="Z150" s="84">
        <v>0.89694399005601633</v>
      </c>
      <c r="AA150" s="89">
        <v>580</v>
      </c>
      <c r="AB150" s="66">
        <v>1</v>
      </c>
      <c r="AC150" s="84">
        <v>0.89694399005601633</v>
      </c>
      <c r="AD150" s="89">
        <v>580</v>
      </c>
      <c r="AE150" s="66">
        <v>1</v>
      </c>
      <c r="AF150" s="84">
        <f t="shared" si="16"/>
        <v>0.7421203669467662</v>
      </c>
      <c r="AG150" s="234">
        <f t="shared" si="17"/>
        <v>500</v>
      </c>
    </row>
    <row r="151" spans="1:33">
      <c r="A151" s="60">
        <f t="shared" si="15"/>
        <v>144</v>
      </c>
      <c r="B151" s="61">
        <v>17870</v>
      </c>
      <c r="C151" s="62" t="s">
        <v>135</v>
      </c>
      <c r="D151" s="62" t="s">
        <v>32</v>
      </c>
      <c r="E151" s="62" t="s">
        <v>327</v>
      </c>
      <c r="F151" s="36" t="s">
        <v>383</v>
      </c>
      <c r="G151" s="62"/>
      <c r="H151" s="62"/>
      <c r="I151" s="62" t="s">
        <v>360</v>
      </c>
      <c r="J151" s="77">
        <v>4</v>
      </c>
      <c r="K151" s="77">
        <v>4</v>
      </c>
      <c r="L151" s="77">
        <v>3</v>
      </c>
      <c r="M151" s="77">
        <v>4</v>
      </c>
      <c r="N151" s="77">
        <v>4</v>
      </c>
      <c r="O151" s="77">
        <v>4</v>
      </c>
      <c r="P151" s="77">
        <v>5</v>
      </c>
      <c r="Q151" s="77">
        <v>5</v>
      </c>
      <c r="R151" s="63">
        <f t="shared" si="12"/>
        <v>3.9999999999999996</v>
      </c>
      <c r="S151" s="64">
        <f t="shared" si="13"/>
        <v>0.8</v>
      </c>
      <c r="T151" s="65" t="str">
        <f t="shared" si="14"/>
        <v>Grade-B</v>
      </c>
      <c r="U151" s="66">
        <f>IFERROR(VLOOKUP(F151,[3]Database!F:G,2,0),0)</f>
        <v>700</v>
      </c>
      <c r="V151" s="66">
        <v>1</v>
      </c>
      <c r="W151" s="84">
        <v>0.89694399005601633</v>
      </c>
      <c r="X151" s="87">
        <v>580</v>
      </c>
      <c r="Y151" s="66">
        <v>1</v>
      </c>
      <c r="Z151" s="84">
        <v>0.89694399005601633</v>
      </c>
      <c r="AA151" s="87">
        <v>580</v>
      </c>
      <c r="AB151" s="66">
        <v>1</v>
      </c>
      <c r="AC151" s="84">
        <v>0.89694399005601633</v>
      </c>
      <c r="AD151" s="87">
        <v>484</v>
      </c>
      <c r="AE151" s="66">
        <v>1</v>
      </c>
      <c r="AF151" s="84">
        <f t="shared" si="16"/>
        <v>0.7421203669467662</v>
      </c>
      <c r="AG151" s="235">
        <f t="shared" si="17"/>
        <v>420</v>
      </c>
    </row>
    <row r="152" spans="1:33" s="8" customFormat="1">
      <c r="A152" s="60">
        <f t="shared" si="15"/>
        <v>145</v>
      </c>
      <c r="B152" s="61">
        <v>16617</v>
      </c>
      <c r="C152" s="62" t="s">
        <v>499</v>
      </c>
      <c r="D152" s="62" t="s">
        <v>32</v>
      </c>
      <c r="E152" s="62" t="s">
        <v>314</v>
      </c>
      <c r="F152" s="36" t="s">
        <v>372</v>
      </c>
      <c r="G152" s="62"/>
      <c r="H152" s="62"/>
      <c r="I152" s="62" t="s">
        <v>360</v>
      </c>
      <c r="J152" s="71">
        <v>5</v>
      </c>
      <c r="K152" s="71">
        <v>4</v>
      </c>
      <c r="L152" s="71">
        <v>5</v>
      </c>
      <c r="M152" s="71">
        <v>5</v>
      </c>
      <c r="N152" s="71">
        <v>4</v>
      </c>
      <c r="O152" s="71">
        <v>5</v>
      </c>
      <c r="P152" s="71">
        <v>4</v>
      </c>
      <c r="Q152" s="71">
        <v>5</v>
      </c>
      <c r="R152" s="63">
        <f t="shared" si="12"/>
        <v>4.6499999999999995</v>
      </c>
      <c r="S152" s="64">
        <f t="shared" si="13"/>
        <v>0.92999999999999994</v>
      </c>
      <c r="T152" s="65" t="str">
        <f t="shared" si="14"/>
        <v>Grade-A</v>
      </c>
      <c r="U152" s="66">
        <f>IFERROR(VLOOKUP(F152,[3]Database!F:G,2,0),0)</f>
        <v>800</v>
      </c>
      <c r="V152" s="66">
        <v>1</v>
      </c>
      <c r="W152" s="84">
        <v>0.89694399005601633</v>
      </c>
      <c r="X152" s="87">
        <v>680</v>
      </c>
      <c r="Y152" s="66">
        <v>0.9</v>
      </c>
      <c r="Z152" s="84">
        <v>0.89694399005601633</v>
      </c>
      <c r="AA152" s="87">
        <v>610</v>
      </c>
      <c r="AB152" s="66">
        <v>0.1</v>
      </c>
      <c r="AC152" s="84">
        <v>0.89694399005601633</v>
      </c>
      <c r="AD152" s="87">
        <v>70</v>
      </c>
      <c r="AE152" s="66">
        <v>1</v>
      </c>
      <c r="AF152" s="84">
        <f t="shared" si="16"/>
        <v>0.7421203669467662</v>
      </c>
      <c r="AG152" s="235">
        <f t="shared" si="17"/>
        <v>560</v>
      </c>
    </row>
    <row r="153" spans="1:33">
      <c r="A153" s="60">
        <f t="shared" si="15"/>
        <v>146</v>
      </c>
      <c r="B153" s="61">
        <v>18452</v>
      </c>
      <c r="C153" s="62" t="s">
        <v>500</v>
      </c>
      <c r="D153" s="62" t="s">
        <v>32</v>
      </c>
      <c r="E153" s="62" t="s">
        <v>314</v>
      </c>
      <c r="F153" s="36" t="s">
        <v>372</v>
      </c>
      <c r="G153" s="62"/>
      <c r="H153" s="62"/>
      <c r="I153" s="62" t="s">
        <v>360</v>
      </c>
      <c r="J153" s="77">
        <v>5</v>
      </c>
      <c r="K153" s="77">
        <v>4</v>
      </c>
      <c r="L153" s="77">
        <v>4</v>
      </c>
      <c r="M153" s="77">
        <v>5</v>
      </c>
      <c r="N153" s="77">
        <v>4</v>
      </c>
      <c r="O153" s="77">
        <v>5</v>
      </c>
      <c r="P153" s="77">
        <v>5</v>
      </c>
      <c r="Q153" s="77">
        <v>5</v>
      </c>
      <c r="R153" s="63">
        <f t="shared" si="12"/>
        <v>4.5999999999999996</v>
      </c>
      <c r="S153" s="64">
        <f t="shared" si="13"/>
        <v>0.91999999999999993</v>
      </c>
      <c r="T153" s="65" t="str">
        <f t="shared" si="14"/>
        <v>Grade-A</v>
      </c>
      <c r="U153" s="66">
        <f>IFERROR(VLOOKUP(F153,[3]Database!F:G,2,0),0)</f>
        <v>800</v>
      </c>
      <c r="V153" s="66">
        <v>1</v>
      </c>
      <c r="W153" s="84">
        <v>0.89694399005601633</v>
      </c>
      <c r="X153" s="87">
        <v>620</v>
      </c>
      <c r="Y153" s="66">
        <v>1</v>
      </c>
      <c r="Z153" s="84">
        <v>0.89694399005601633</v>
      </c>
      <c r="AA153" s="87">
        <v>620</v>
      </c>
      <c r="AB153" s="66">
        <v>1</v>
      </c>
      <c r="AC153" s="84">
        <v>0.89694399005601633</v>
      </c>
      <c r="AD153" s="87">
        <v>620</v>
      </c>
      <c r="AE153" s="66">
        <v>1</v>
      </c>
      <c r="AF153" s="84">
        <f t="shared" si="16"/>
        <v>0.7421203669467662</v>
      </c>
      <c r="AG153" s="235">
        <f t="shared" si="17"/>
        <v>550</v>
      </c>
    </row>
    <row r="154" spans="1:33" s="8" customFormat="1">
      <c r="A154" s="60">
        <f t="shared" si="15"/>
        <v>147</v>
      </c>
      <c r="B154" s="61">
        <v>1627</v>
      </c>
      <c r="C154" s="62" t="s">
        <v>502</v>
      </c>
      <c r="D154" s="62" t="s">
        <v>32</v>
      </c>
      <c r="E154" s="62" t="s">
        <v>325</v>
      </c>
      <c r="F154" s="36" t="s">
        <v>665</v>
      </c>
      <c r="G154" s="62"/>
      <c r="H154" s="62"/>
      <c r="I154" s="62" t="s">
        <v>360</v>
      </c>
      <c r="J154" s="77">
        <v>5</v>
      </c>
      <c r="K154" s="77">
        <v>4</v>
      </c>
      <c r="L154" s="77">
        <v>4</v>
      </c>
      <c r="M154" s="77">
        <v>5</v>
      </c>
      <c r="N154" s="77">
        <v>4</v>
      </c>
      <c r="O154" s="77">
        <v>4</v>
      </c>
      <c r="P154" s="77">
        <v>4</v>
      </c>
      <c r="Q154" s="77">
        <v>4</v>
      </c>
      <c r="R154" s="63">
        <f t="shared" si="12"/>
        <v>4.3999999999999995</v>
      </c>
      <c r="S154" s="64">
        <f t="shared" si="13"/>
        <v>0.87999999999999989</v>
      </c>
      <c r="T154" s="65" t="str">
        <f t="shared" si="14"/>
        <v>Grade-B</v>
      </c>
      <c r="U154" s="66">
        <f>IFERROR(VLOOKUP(F154,[3]Database!F:G,2,0),0)</f>
        <v>700</v>
      </c>
      <c r="V154" s="66">
        <v>1</v>
      </c>
      <c r="W154" s="84">
        <v>0.89694399005601633</v>
      </c>
      <c r="X154" s="89">
        <v>600</v>
      </c>
      <c r="Y154" s="66">
        <v>1</v>
      </c>
      <c r="Z154" s="84">
        <v>0.89694399005601633</v>
      </c>
      <c r="AA154" s="89">
        <v>600</v>
      </c>
      <c r="AB154" s="66">
        <v>1</v>
      </c>
      <c r="AC154" s="84">
        <v>0.89694399005601633</v>
      </c>
      <c r="AD154" s="89">
        <v>600</v>
      </c>
      <c r="AE154" s="66">
        <v>1</v>
      </c>
      <c r="AF154" s="84">
        <f t="shared" si="16"/>
        <v>0.7421203669467662</v>
      </c>
      <c r="AG154" s="234">
        <f t="shared" si="17"/>
        <v>460</v>
      </c>
    </row>
    <row r="155" spans="1:33">
      <c r="A155" s="60">
        <f t="shared" si="15"/>
        <v>148</v>
      </c>
      <c r="B155" s="61">
        <v>6823</v>
      </c>
      <c r="C155" s="62" t="s">
        <v>504</v>
      </c>
      <c r="D155" s="62" t="s">
        <v>172</v>
      </c>
      <c r="E155" s="62" t="s">
        <v>328</v>
      </c>
      <c r="F155" s="36" t="s">
        <v>375</v>
      </c>
      <c r="G155" s="62"/>
      <c r="H155" s="62"/>
      <c r="I155" s="62" t="s">
        <v>360</v>
      </c>
      <c r="J155" s="77">
        <v>5</v>
      </c>
      <c r="K155" s="77">
        <v>4</v>
      </c>
      <c r="L155" s="77">
        <v>5</v>
      </c>
      <c r="M155" s="77">
        <v>5</v>
      </c>
      <c r="N155" s="77">
        <v>4</v>
      </c>
      <c r="O155" s="77">
        <v>4</v>
      </c>
      <c r="P155" s="77">
        <v>5</v>
      </c>
      <c r="Q155" s="77">
        <v>5</v>
      </c>
      <c r="R155" s="63">
        <f t="shared" si="12"/>
        <v>4.5999999999999996</v>
      </c>
      <c r="S155" s="64">
        <f t="shared" si="13"/>
        <v>0.91999999999999993</v>
      </c>
      <c r="T155" s="65" t="str">
        <f t="shared" si="14"/>
        <v>Grade-A</v>
      </c>
      <c r="U155" s="66">
        <f>IFERROR(VLOOKUP(F155,[3]Database!F:G,2,0),0)</f>
        <v>800</v>
      </c>
      <c r="V155" s="66">
        <v>1</v>
      </c>
      <c r="W155" s="84">
        <v>0.89694399005601633</v>
      </c>
      <c r="X155" s="87">
        <v>690</v>
      </c>
      <c r="Y155" s="66">
        <v>1</v>
      </c>
      <c r="Z155" s="84">
        <v>0.89694399005601633</v>
      </c>
      <c r="AA155" s="87">
        <v>690</v>
      </c>
      <c r="AB155" s="66">
        <v>1</v>
      </c>
      <c r="AC155" s="84">
        <v>0.89694399005601633</v>
      </c>
      <c r="AD155" s="87">
        <v>690</v>
      </c>
      <c r="AE155" s="66">
        <v>1</v>
      </c>
      <c r="AF155" s="84">
        <f t="shared" si="16"/>
        <v>0.7421203669467662</v>
      </c>
      <c r="AG155" s="235">
        <f t="shared" si="17"/>
        <v>550</v>
      </c>
    </row>
    <row r="156" spans="1:33" s="41" customFormat="1">
      <c r="A156" s="60">
        <f t="shared" si="15"/>
        <v>149</v>
      </c>
      <c r="B156" s="61">
        <v>17502</v>
      </c>
      <c r="C156" s="62" t="s">
        <v>136</v>
      </c>
      <c r="D156" s="62" t="s">
        <v>65</v>
      </c>
      <c r="E156" s="62" t="s">
        <v>314</v>
      </c>
      <c r="F156" s="36" t="s">
        <v>372</v>
      </c>
      <c r="G156" s="62"/>
      <c r="H156" s="62"/>
      <c r="I156" s="62" t="s">
        <v>360</v>
      </c>
      <c r="J156" s="77">
        <v>5</v>
      </c>
      <c r="K156" s="77">
        <v>5</v>
      </c>
      <c r="L156" s="77">
        <v>5</v>
      </c>
      <c r="M156" s="77">
        <v>5</v>
      </c>
      <c r="N156" s="77">
        <v>5</v>
      </c>
      <c r="O156" s="77">
        <v>4</v>
      </c>
      <c r="P156" s="77">
        <v>5</v>
      </c>
      <c r="Q156" s="77">
        <v>4</v>
      </c>
      <c r="R156" s="63">
        <f t="shared" si="12"/>
        <v>4.8500000000000005</v>
      </c>
      <c r="S156" s="64">
        <f t="shared" si="13"/>
        <v>0.97</v>
      </c>
      <c r="T156" s="65" t="str">
        <f t="shared" si="14"/>
        <v>Grade-A</v>
      </c>
      <c r="U156" s="66">
        <f>IFERROR(VLOOKUP(F156,[3]Database!F:G,2,0),0)</f>
        <v>800</v>
      </c>
      <c r="V156" s="66">
        <v>1</v>
      </c>
      <c r="W156" s="84">
        <v>0.89694399005601633</v>
      </c>
      <c r="X156" s="89">
        <v>680</v>
      </c>
      <c r="Y156" s="66">
        <v>1</v>
      </c>
      <c r="Z156" s="84">
        <v>0.89694399005601633</v>
      </c>
      <c r="AA156" s="89">
        <v>680</v>
      </c>
      <c r="AB156" s="66">
        <v>1</v>
      </c>
      <c r="AC156" s="84">
        <v>0.89694399005601633</v>
      </c>
      <c r="AD156" s="89">
        <v>680</v>
      </c>
      <c r="AE156" s="66">
        <v>1</v>
      </c>
      <c r="AF156" s="84">
        <f t="shared" si="16"/>
        <v>0.7421203669467662</v>
      </c>
      <c r="AG156" s="234">
        <f t="shared" si="17"/>
        <v>580</v>
      </c>
    </row>
    <row r="157" spans="1:33" s="41" customFormat="1">
      <c r="A157" s="60">
        <f t="shared" si="15"/>
        <v>150</v>
      </c>
      <c r="B157" s="61">
        <v>18977</v>
      </c>
      <c r="C157" s="62" t="s">
        <v>137</v>
      </c>
      <c r="D157" s="62" t="s">
        <v>65</v>
      </c>
      <c r="E157" s="62" t="s">
        <v>323</v>
      </c>
      <c r="F157" s="36" t="s">
        <v>372</v>
      </c>
      <c r="G157" s="62"/>
      <c r="H157" s="62"/>
      <c r="I157" s="62" t="s">
        <v>360</v>
      </c>
      <c r="J157" s="77">
        <v>5</v>
      </c>
      <c r="K157" s="77">
        <v>4</v>
      </c>
      <c r="L157" s="77">
        <v>5</v>
      </c>
      <c r="M157" s="77">
        <v>5</v>
      </c>
      <c r="N157" s="77">
        <v>5</v>
      </c>
      <c r="O157" s="77">
        <v>5</v>
      </c>
      <c r="P157" s="77">
        <v>4</v>
      </c>
      <c r="Q157" s="77">
        <v>5</v>
      </c>
      <c r="R157" s="63">
        <f t="shared" si="12"/>
        <v>4.75</v>
      </c>
      <c r="S157" s="64">
        <f t="shared" si="13"/>
        <v>0.95</v>
      </c>
      <c r="T157" s="65" t="str">
        <f t="shared" si="14"/>
        <v>Grade-A</v>
      </c>
      <c r="U157" s="66">
        <f>IFERROR(VLOOKUP(F157,[3]Database!F:G,2,0),0)</f>
        <v>800</v>
      </c>
      <c r="V157" s="66">
        <v>1</v>
      </c>
      <c r="W157" s="84">
        <v>0.89694399005601633</v>
      </c>
      <c r="X157" s="87">
        <v>690</v>
      </c>
      <c r="Y157" s="66">
        <v>1</v>
      </c>
      <c r="Z157" s="84">
        <v>0.89694399005601633</v>
      </c>
      <c r="AA157" s="87">
        <v>690</v>
      </c>
      <c r="AB157" s="66">
        <v>0</v>
      </c>
      <c r="AC157" s="84">
        <v>0.89694399005601633</v>
      </c>
      <c r="AD157" s="87">
        <v>0</v>
      </c>
      <c r="AE157" s="66">
        <v>1</v>
      </c>
      <c r="AF157" s="84">
        <f t="shared" si="16"/>
        <v>0.7421203669467662</v>
      </c>
      <c r="AG157" s="235">
        <f t="shared" si="17"/>
        <v>570</v>
      </c>
    </row>
    <row r="158" spans="1:33">
      <c r="A158" s="60">
        <f t="shared" si="15"/>
        <v>151</v>
      </c>
      <c r="B158" s="69">
        <v>19820</v>
      </c>
      <c r="C158" s="70" t="s">
        <v>505</v>
      </c>
      <c r="D158" s="70" t="s">
        <v>65</v>
      </c>
      <c r="E158" s="70" t="s">
        <v>327</v>
      </c>
      <c r="F158" s="83" t="s">
        <v>372</v>
      </c>
      <c r="G158" s="70"/>
      <c r="H158" s="70"/>
      <c r="I158" s="62" t="s">
        <v>360</v>
      </c>
      <c r="J158" s="77">
        <v>5</v>
      </c>
      <c r="K158" s="77">
        <v>4</v>
      </c>
      <c r="L158" s="77">
        <v>5</v>
      </c>
      <c r="M158" s="77">
        <v>5</v>
      </c>
      <c r="N158" s="77">
        <v>5</v>
      </c>
      <c r="O158" s="77">
        <v>5</v>
      </c>
      <c r="P158" s="77">
        <v>4</v>
      </c>
      <c r="Q158" s="77">
        <v>5</v>
      </c>
      <c r="R158" s="63">
        <f t="shared" si="12"/>
        <v>4.75</v>
      </c>
      <c r="S158" s="64">
        <f t="shared" si="13"/>
        <v>0.95</v>
      </c>
      <c r="T158" s="65" t="str">
        <f t="shared" si="14"/>
        <v>Grade-A</v>
      </c>
      <c r="U158" s="66">
        <f>IFERROR(VLOOKUP(F158,[3]Database!F:G,2,0),0)</f>
        <v>800</v>
      </c>
      <c r="V158" s="90">
        <v>1</v>
      </c>
      <c r="W158" s="91">
        <v>0.89694399005601633</v>
      </c>
      <c r="X158" s="89">
        <v>680</v>
      </c>
      <c r="Y158" s="90">
        <v>0.52</v>
      </c>
      <c r="Z158" s="91">
        <v>0.89694399005601633</v>
      </c>
      <c r="AA158" s="89">
        <v>360</v>
      </c>
      <c r="AB158" s="90">
        <v>1</v>
      </c>
      <c r="AC158" s="91">
        <v>0.89694399005601633</v>
      </c>
      <c r="AD158" s="89">
        <v>680</v>
      </c>
      <c r="AE158" s="90">
        <v>1</v>
      </c>
      <c r="AF158" s="91">
        <f t="shared" si="16"/>
        <v>0.7421203669467662</v>
      </c>
      <c r="AG158" s="234">
        <f t="shared" si="17"/>
        <v>570</v>
      </c>
    </row>
    <row r="159" spans="1:33" s="92" customFormat="1">
      <c r="A159" s="60">
        <f t="shared" si="15"/>
        <v>152</v>
      </c>
      <c r="B159" s="61">
        <v>721</v>
      </c>
      <c r="C159" s="62" t="s">
        <v>151</v>
      </c>
      <c r="D159" s="62" t="s">
        <v>32</v>
      </c>
      <c r="E159" s="62" t="s">
        <v>175</v>
      </c>
      <c r="F159" s="36" t="s">
        <v>376</v>
      </c>
      <c r="G159" s="62"/>
      <c r="H159" s="62"/>
      <c r="I159" s="62" t="s">
        <v>360</v>
      </c>
      <c r="J159" s="77">
        <v>5</v>
      </c>
      <c r="K159" s="77">
        <v>5</v>
      </c>
      <c r="L159" s="77">
        <v>2</v>
      </c>
      <c r="M159" s="77">
        <v>5</v>
      </c>
      <c r="N159" s="77">
        <v>5</v>
      </c>
      <c r="O159" s="77">
        <v>5</v>
      </c>
      <c r="P159" s="77">
        <v>5</v>
      </c>
      <c r="Q159" s="77">
        <v>5</v>
      </c>
      <c r="R159" s="63">
        <f t="shared" si="12"/>
        <v>4.7</v>
      </c>
      <c r="S159" s="64">
        <f t="shared" si="13"/>
        <v>0.94000000000000006</v>
      </c>
      <c r="T159" s="65" t="str">
        <f t="shared" si="14"/>
        <v>Grade-A</v>
      </c>
      <c r="U159" s="66">
        <f>IFERROR(VLOOKUP(F159,[3]Database!F:G,2,0),0)</f>
        <v>700</v>
      </c>
      <c r="V159" s="66">
        <v>1</v>
      </c>
      <c r="W159" s="84">
        <v>0.89694399005601633</v>
      </c>
      <c r="X159" s="89">
        <v>600</v>
      </c>
      <c r="Y159" s="66">
        <v>1</v>
      </c>
      <c r="Z159" s="84">
        <v>0.89694399005601633</v>
      </c>
      <c r="AA159" s="89">
        <v>600</v>
      </c>
      <c r="AB159" s="66">
        <v>1</v>
      </c>
      <c r="AC159" s="84">
        <v>0.89694399005601633</v>
      </c>
      <c r="AD159" s="89">
        <v>600</v>
      </c>
      <c r="AE159" s="66">
        <v>1</v>
      </c>
      <c r="AF159" s="84">
        <f t="shared" si="16"/>
        <v>0.7421203669467662</v>
      </c>
      <c r="AG159" s="234">
        <f t="shared" si="17"/>
        <v>490</v>
      </c>
    </row>
    <row r="160" spans="1:33">
      <c r="A160" s="60">
        <f t="shared" si="15"/>
        <v>153</v>
      </c>
      <c r="B160" s="69">
        <v>286</v>
      </c>
      <c r="C160" s="70" t="s">
        <v>506</v>
      </c>
      <c r="D160" s="70" t="s">
        <v>175</v>
      </c>
      <c r="E160" s="70" t="s">
        <v>329</v>
      </c>
      <c r="F160" s="83" t="s">
        <v>376</v>
      </c>
      <c r="G160" s="70"/>
      <c r="H160" s="70"/>
      <c r="I160" s="62" t="s">
        <v>360</v>
      </c>
      <c r="J160" s="77">
        <v>5</v>
      </c>
      <c r="K160" s="77">
        <v>5</v>
      </c>
      <c r="L160" s="77">
        <v>5</v>
      </c>
      <c r="M160" s="77">
        <v>5</v>
      </c>
      <c r="N160" s="77">
        <v>5</v>
      </c>
      <c r="O160" s="77">
        <v>4</v>
      </c>
      <c r="P160" s="77">
        <v>5</v>
      </c>
      <c r="Q160" s="77">
        <v>4</v>
      </c>
      <c r="R160" s="63">
        <f t="shared" si="12"/>
        <v>4.8500000000000005</v>
      </c>
      <c r="S160" s="64">
        <f t="shared" si="13"/>
        <v>0.97</v>
      </c>
      <c r="T160" s="65" t="str">
        <f t="shared" si="14"/>
        <v>Grade-A</v>
      </c>
      <c r="U160" s="66">
        <f>IFERROR(VLOOKUP(F160,[3]Database!F:G,2,0),0)</f>
        <v>700</v>
      </c>
      <c r="V160" s="90">
        <v>0.3</v>
      </c>
      <c r="W160" s="91">
        <v>0.89694399005601633</v>
      </c>
      <c r="X160" s="89">
        <v>180</v>
      </c>
      <c r="Y160" s="90">
        <v>1</v>
      </c>
      <c r="Z160" s="91">
        <v>0.89694399005601633</v>
      </c>
      <c r="AA160" s="89">
        <v>600</v>
      </c>
      <c r="AB160" s="90">
        <v>1</v>
      </c>
      <c r="AC160" s="91">
        <v>0.89694399005601633</v>
      </c>
      <c r="AD160" s="89">
        <v>600</v>
      </c>
      <c r="AE160" s="90">
        <v>1</v>
      </c>
      <c r="AF160" s="91">
        <f t="shared" si="16"/>
        <v>0.7421203669467662</v>
      </c>
      <c r="AG160" s="234">
        <f t="shared" si="17"/>
        <v>510</v>
      </c>
    </row>
    <row r="161" spans="1:33">
      <c r="A161" s="60">
        <f t="shared" si="15"/>
        <v>154</v>
      </c>
      <c r="B161" s="61">
        <v>672</v>
      </c>
      <c r="C161" s="62" t="s">
        <v>507</v>
      </c>
      <c r="D161" s="62" t="s">
        <v>176</v>
      </c>
      <c r="E161" s="62" t="s">
        <v>330</v>
      </c>
      <c r="F161" s="36" t="s">
        <v>376</v>
      </c>
      <c r="G161" s="62"/>
      <c r="H161" s="62"/>
      <c r="I161" s="62" t="s">
        <v>360</v>
      </c>
      <c r="J161" s="77">
        <v>5</v>
      </c>
      <c r="K161" s="77">
        <v>5</v>
      </c>
      <c r="L161" s="77">
        <v>5</v>
      </c>
      <c r="M161" s="77">
        <v>5</v>
      </c>
      <c r="N161" s="77">
        <v>5</v>
      </c>
      <c r="O161" s="77">
        <v>4</v>
      </c>
      <c r="P161" s="77">
        <v>5</v>
      </c>
      <c r="Q161" s="77">
        <v>4</v>
      </c>
      <c r="R161" s="63">
        <f t="shared" si="12"/>
        <v>4.8500000000000005</v>
      </c>
      <c r="S161" s="64">
        <f t="shared" si="13"/>
        <v>0.97</v>
      </c>
      <c r="T161" s="65" t="str">
        <f t="shared" si="14"/>
        <v>Grade-A</v>
      </c>
      <c r="U161" s="66">
        <f>IFERROR(VLOOKUP(F161,[3]Database!F:G,2,0),0)</f>
        <v>700</v>
      </c>
      <c r="V161" s="66">
        <v>1</v>
      </c>
      <c r="W161" s="84">
        <v>0.89694399005601633</v>
      </c>
      <c r="X161" s="89">
        <v>600</v>
      </c>
      <c r="Y161" s="66">
        <v>1</v>
      </c>
      <c r="Z161" s="84">
        <v>0.89694399005601633</v>
      </c>
      <c r="AA161" s="89">
        <v>600</v>
      </c>
      <c r="AB161" s="66">
        <v>1</v>
      </c>
      <c r="AC161" s="84">
        <v>0.89694399005601633</v>
      </c>
      <c r="AD161" s="89">
        <v>600</v>
      </c>
      <c r="AE161" s="66">
        <v>1</v>
      </c>
      <c r="AF161" s="84">
        <f t="shared" si="16"/>
        <v>0.7421203669467662</v>
      </c>
      <c r="AG161" s="234">
        <f t="shared" si="17"/>
        <v>510</v>
      </c>
    </row>
    <row r="162" spans="1:33">
      <c r="A162" s="60">
        <f t="shared" si="15"/>
        <v>155</v>
      </c>
      <c r="B162" s="61">
        <v>180</v>
      </c>
      <c r="C162" s="62" t="s">
        <v>508</v>
      </c>
      <c r="D162" s="62" t="s">
        <v>176</v>
      </c>
      <c r="E162" s="62" t="s">
        <v>331</v>
      </c>
      <c r="F162" s="36" t="s">
        <v>376</v>
      </c>
      <c r="G162" s="62"/>
      <c r="H162" s="62"/>
      <c r="I162" s="62" t="s">
        <v>360</v>
      </c>
      <c r="J162" s="77">
        <v>5</v>
      </c>
      <c r="K162" s="77">
        <v>5</v>
      </c>
      <c r="L162" s="77">
        <v>5</v>
      </c>
      <c r="M162" s="77">
        <v>4</v>
      </c>
      <c r="N162" s="77">
        <v>5</v>
      </c>
      <c r="O162" s="77">
        <v>4</v>
      </c>
      <c r="P162" s="77">
        <v>3</v>
      </c>
      <c r="Q162" s="77">
        <v>4</v>
      </c>
      <c r="R162" s="63">
        <f t="shared" si="12"/>
        <v>4.6500000000000004</v>
      </c>
      <c r="S162" s="64">
        <f t="shared" si="13"/>
        <v>0.92999999999999994</v>
      </c>
      <c r="T162" s="65" t="str">
        <f t="shared" si="14"/>
        <v>Grade-A</v>
      </c>
      <c r="U162" s="66">
        <f>IFERROR(VLOOKUP(F162,[3]Database!F:G,2,0),0)</f>
        <v>700</v>
      </c>
      <c r="V162" s="66">
        <v>1</v>
      </c>
      <c r="W162" s="84">
        <v>0.89694399005601633</v>
      </c>
      <c r="X162" s="87">
        <v>600</v>
      </c>
      <c r="Y162" s="66">
        <v>1</v>
      </c>
      <c r="Z162" s="84">
        <v>0.89694399005601633</v>
      </c>
      <c r="AA162" s="87">
        <v>600</v>
      </c>
      <c r="AB162" s="66">
        <v>1</v>
      </c>
      <c r="AC162" s="84">
        <v>0.89694399005601633</v>
      </c>
      <c r="AD162" s="87">
        <v>600</v>
      </c>
      <c r="AE162" s="66">
        <v>1</v>
      </c>
      <c r="AF162" s="84">
        <f t="shared" si="16"/>
        <v>0.7421203669467662</v>
      </c>
      <c r="AG162" s="235">
        <f t="shared" si="17"/>
        <v>490</v>
      </c>
    </row>
    <row r="163" spans="1:33">
      <c r="A163" s="60">
        <f t="shared" si="15"/>
        <v>156</v>
      </c>
      <c r="B163" s="61">
        <v>405</v>
      </c>
      <c r="C163" s="62" t="s">
        <v>154</v>
      </c>
      <c r="D163" s="62" t="s">
        <v>177</v>
      </c>
      <c r="E163" s="62" t="s">
        <v>330</v>
      </c>
      <c r="F163" s="36" t="s">
        <v>376</v>
      </c>
      <c r="G163" s="62"/>
      <c r="H163" s="62"/>
      <c r="I163" s="62" t="s">
        <v>360</v>
      </c>
      <c r="J163" s="77">
        <v>5</v>
      </c>
      <c r="K163" s="77">
        <v>4</v>
      </c>
      <c r="L163" s="77">
        <v>5</v>
      </c>
      <c r="M163" s="77">
        <v>5</v>
      </c>
      <c r="N163" s="77">
        <v>5</v>
      </c>
      <c r="O163" s="77">
        <v>5</v>
      </c>
      <c r="P163" s="77">
        <v>5</v>
      </c>
      <c r="Q163" s="77">
        <v>5</v>
      </c>
      <c r="R163" s="63">
        <f t="shared" si="12"/>
        <v>4.8</v>
      </c>
      <c r="S163" s="64">
        <f t="shared" si="13"/>
        <v>0.96</v>
      </c>
      <c r="T163" s="65" t="str">
        <f t="shared" si="14"/>
        <v>Grade-A</v>
      </c>
      <c r="U163" s="66">
        <f>IFERROR(VLOOKUP(F163,[3]Database!F:G,2,0),0)</f>
        <v>700</v>
      </c>
      <c r="V163" s="66">
        <v>1</v>
      </c>
      <c r="W163" s="84">
        <v>0.89694399005601633</v>
      </c>
      <c r="X163" s="89">
        <v>600</v>
      </c>
      <c r="Y163" s="66">
        <v>1</v>
      </c>
      <c r="Z163" s="84">
        <v>0.89694399005601633</v>
      </c>
      <c r="AA163" s="89">
        <v>600</v>
      </c>
      <c r="AB163" s="66">
        <v>1</v>
      </c>
      <c r="AC163" s="84">
        <v>0.89694399005601633</v>
      </c>
      <c r="AD163" s="89">
        <v>600</v>
      </c>
      <c r="AE163" s="66">
        <v>1</v>
      </c>
      <c r="AF163" s="84">
        <f t="shared" si="16"/>
        <v>0.7421203669467662</v>
      </c>
      <c r="AG163" s="234">
        <f t="shared" si="17"/>
        <v>500</v>
      </c>
    </row>
    <row r="164" spans="1:33">
      <c r="A164" s="60">
        <f t="shared" si="15"/>
        <v>157</v>
      </c>
      <c r="B164" s="290">
        <v>21303</v>
      </c>
      <c r="C164" s="291" t="s">
        <v>509</v>
      </c>
      <c r="D164" s="291" t="s">
        <v>178</v>
      </c>
      <c r="E164" s="291" t="s">
        <v>331</v>
      </c>
      <c r="F164" s="250" t="s">
        <v>376</v>
      </c>
      <c r="G164" s="291"/>
      <c r="H164" s="291"/>
      <c r="I164" s="291" t="s">
        <v>785</v>
      </c>
      <c r="J164" s="323">
        <v>5</v>
      </c>
      <c r="K164" s="323">
        <v>5</v>
      </c>
      <c r="L164" s="323">
        <v>5</v>
      </c>
      <c r="M164" s="323">
        <v>5</v>
      </c>
      <c r="N164" s="323">
        <v>5</v>
      </c>
      <c r="O164" s="323">
        <v>4</v>
      </c>
      <c r="P164" s="323">
        <v>5</v>
      </c>
      <c r="Q164" s="323">
        <v>4</v>
      </c>
      <c r="R164" s="292">
        <f t="shared" si="12"/>
        <v>4.8500000000000005</v>
      </c>
      <c r="S164" s="293">
        <f t="shared" si="13"/>
        <v>0.97</v>
      </c>
      <c r="T164" s="294" t="str">
        <f t="shared" si="14"/>
        <v>Grade-A</v>
      </c>
      <c r="U164" s="296">
        <f>IFERROR(VLOOKUP(F164,[3]Database!F:G,2,0),0)</f>
        <v>700</v>
      </c>
      <c r="V164" s="296">
        <v>1</v>
      </c>
      <c r="W164" s="297">
        <v>0.89694399005601633</v>
      </c>
      <c r="X164" s="326">
        <v>600</v>
      </c>
      <c r="Y164" s="296">
        <v>1</v>
      </c>
      <c r="Z164" s="297">
        <v>0.89694399005601633</v>
      </c>
      <c r="AA164" s="326">
        <v>600</v>
      </c>
      <c r="AB164" s="296">
        <v>0.97</v>
      </c>
      <c r="AC164" s="297">
        <v>0.89694399005601633</v>
      </c>
      <c r="AD164" s="326">
        <v>580</v>
      </c>
      <c r="AE164" s="296">
        <v>0.35</v>
      </c>
      <c r="AF164" s="297">
        <f t="shared" si="16"/>
        <v>0.7421203669467662</v>
      </c>
      <c r="AG164" s="327">
        <f t="shared" si="17"/>
        <v>180</v>
      </c>
    </row>
    <row r="165" spans="1:33">
      <c r="A165" s="60">
        <f t="shared" si="15"/>
        <v>158</v>
      </c>
      <c r="B165" s="61">
        <v>7619</v>
      </c>
      <c r="C165" s="62" t="s">
        <v>510</v>
      </c>
      <c r="D165" s="62" t="s">
        <v>178</v>
      </c>
      <c r="E165" s="62" t="s">
        <v>331</v>
      </c>
      <c r="F165" s="36" t="s">
        <v>376</v>
      </c>
      <c r="G165" s="62"/>
      <c r="H165" s="62"/>
      <c r="I165" s="62" t="s">
        <v>360</v>
      </c>
      <c r="J165" s="77">
        <v>5</v>
      </c>
      <c r="K165" s="77">
        <v>5</v>
      </c>
      <c r="L165" s="77">
        <v>5</v>
      </c>
      <c r="M165" s="77">
        <v>5</v>
      </c>
      <c r="N165" s="77">
        <v>5</v>
      </c>
      <c r="O165" s="77">
        <v>4</v>
      </c>
      <c r="P165" s="77">
        <v>4</v>
      </c>
      <c r="Q165" s="77">
        <v>4</v>
      </c>
      <c r="R165" s="63">
        <f t="shared" si="12"/>
        <v>4.8000000000000007</v>
      </c>
      <c r="S165" s="64">
        <f t="shared" si="13"/>
        <v>0.96</v>
      </c>
      <c r="T165" s="65" t="str">
        <f t="shared" si="14"/>
        <v>Grade-A</v>
      </c>
      <c r="U165" s="66">
        <f>IFERROR(VLOOKUP(F165,[3]Database!F:G,2,0),0)</f>
        <v>700</v>
      </c>
      <c r="V165" s="66">
        <v>1</v>
      </c>
      <c r="W165" s="84">
        <v>0.89694399005601633</v>
      </c>
      <c r="X165" s="89">
        <v>600</v>
      </c>
      <c r="Y165" s="66">
        <v>1</v>
      </c>
      <c r="Z165" s="84">
        <v>0.89694399005601633</v>
      </c>
      <c r="AA165" s="89">
        <v>600</v>
      </c>
      <c r="AB165" s="66">
        <v>0.97</v>
      </c>
      <c r="AC165" s="84">
        <v>0.89694399005601633</v>
      </c>
      <c r="AD165" s="89">
        <v>580</v>
      </c>
      <c r="AE165" s="66">
        <v>1</v>
      </c>
      <c r="AF165" s="84">
        <f t="shared" si="16"/>
        <v>0.7421203669467662</v>
      </c>
      <c r="AG165" s="234">
        <f t="shared" si="17"/>
        <v>500</v>
      </c>
    </row>
    <row r="166" spans="1:33">
      <c r="A166" s="60">
        <f t="shared" si="15"/>
        <v>159</v>
      </c>
      <c r="B166" s="61">
        <v>25140</v>
      </c>
      <c r="C166" s="62" t="s">
        <v>511</v>
      </c>
      <c r="D166" s="62" t="s">
        <v>65</v>
      </c>
      <c r="E166" s="62" t="s">
        <v>175</v>
      </c>
      <c r="F166" s="36" t="s">
        <v>376</v>
      </c>
      <c r="G166" s="62"/>
      <c r="H166" s="62"/>
      <c r="I166" s="62" t="s">
        <v>360</v>
      </c>
      <c r="J166" s="77">
        <v>5</v>
      </c>
      <c r="K166" s="77">
        <v>5</v>
      </c>
      <c r="L166" s="77">
        <v>5</v>
      </c>
      <c r="M166" s="77">
        <v>5</v>
      </c>
      <c r="N166" s="77">
        <v>4</v>
      </c>
      <c r="O166" s="77">
        <v>5</v>
      </c>
      <c r="P166" s="77">
        <v>4</v>
      </c>
      <c r="Q166" s="77">
        <v>4</v>
      </c>
      <c r="R166" s="63">
        <f t="shared" si="12"/>
        <v>4.8000000000000007</v>
      </c>
      <c r="S166" s="64">
        <f t="shared" si="13"/>
        <v>0.96</v>
      </c>
      <c r="T166" s="65" t="str">
        <f t="shared" si="14"/>
        <v>Grade-A</v>
      </c>
      <c r="U166" s="66">
        <f>IFERROR(VLOOKUP(F166,[3]Database!F:G,2,0),0)</f>
        <v>700</v>
      </c>
      <c r="V166" s="66">
        <v>1</v>
      </c>
      <c r="W166" s="84">
        <v>0.89694399005601633</v>
      </c>
      <c r="X166" s="89">
        <v>600</v>
      </c>
      <c r="Y166" s="66">
        <v>1</v>
      </c>
      <c r="Z166" s="84">
        <v>0.89694399005601633</v>
      </c>
      <c r="AA166" s="89">
        <v>600</v>
      </c>
      <c r="AB166" s="66">
        <v>1</v>
      </c>
      <c r="AC166" s="84">
        <v>0.89694399005601633</v>
      </c>
      <c r="AD166" s="89">
        <v>600</v>
      </c>
      <c r="AE166" s="66">
        <v>1</v>
      </c>
      <c r="AF166" s="84">
        <f t="shared" si="16"/>
        <v>0.7421203669467662</v>
      </c>
      <c r="AG166" s="234">
        <f t="shared" si="17"/>
        <v>500</v>
      </c>
    </row>
    <row r="167" spans="1:33">
      <c r="A167" s="60">
        <f t="shared" si="15"/>
        <v>160</v>
      </c>
      <c r="B167" s="61">
        <v>6824</v>
      </c>
      <c r="C167" s="62" t="s">
        <v>512</v>
      </c>
      <c r="D167" s="62" t="s">
        <v>179</v>
      </c>
      <c r="E167" s="62" t="s">
        <v>179</v>
      </c>
      <c r="F167" s="36" t="s">
        <v>376</v>
      </c>
      <c r="G167" s="62"/>
      <c r="H167" s="62"/>
      <c r="I167" s="62" t="s">
        <v>360</v>
      </c>
      <c r="J167" s="77">
        <v>5</v>
      </c>
      <c r="K167" s="77">
        <v>5</v>
      </c>
      <c r="L167" s="77">
        <v>5</v>
      </c>
      <c r="M167" s="77">
        <v>5</v>
      </c>
      <c r="N167" s="77">
        <v>4</v>
      </c>
      <c r="O167" s="77">
        <v>4</v>
      </c>
      <c r="P167" s="77">
        <v>5</v>
      </c>
      <c r="Q167" s="77">
        <v>5</v>
      </c>
      <c r="R167" s="63">
        <f t="shared" si="12"/>
        <v>4.8</v>
      </c>
      <c r="S167" s="64">
        <f t="shared" si="13"/>
        <v>0.96</v>
      </c>
      <c r="T167" s="65" t="str">
        <f t="shared" si="14"/>
        <v>Grade-A</v>
      </c>
      <c r="U167" s="66">
        <f>IFERROR(VLOOKUP(F167,[3]Database!F:G,2,0),0)</f>
        <v>700</v>
      </c>
      <c r="V167" s="66">
        <v>1</v>
      </c>
      <c r="W167" s="84">
        <v>0.89694399005601633</v>
      </c>
      <c r="X167" s="87">
        <v>600</v>
      </c>
      <c r="Y167" s="66">
        <v>1</v>
      </c>
      <c r="Z167" s="84">
        <v>0.89694399005601633</v>
      </c>
      <c r="AA167" s="87">
        <v>600</v>
      </c>
      <c r="AB167" s="66">
        <v>0.35</v>
      </c>
      <c r="AC167" s="84">
        <v>0.89694399005601633</v>
      </c>
      <c r="AD167" s="87">
        <v>210</v>
      </c>
      <c r="AE167" s="66">
        <v>1</v>
      </c>
      <c r="AF167" s="84">
        <f t="shared" si="16"/>
        <v>0.7421203669467662</v>
      </c>
      <c r="AG167" s="235">
        <f t="shared" si="17"/>
        <v>500</v>
      </c>
    </row>
    <row r="168" spans="1:33">
      <c r="A168" s="60">
        <f t="shared" si="15"/>
        <v>161</v>
      </c>
      <c r="B168" s="290">
        <v>6051</v>
      </c>
      <c r="C168" s="291" t="s">
        <v>513</v>
      </c>
      <c r="D168" s="291" t="s">
        <v>179</v>
      </c>
      <c r="E168" s="291" t="s">
        <v>179</v>
      </c>
      <c r="F168" s="250" t="s">
        <v>376</v>
      </c>
      <c r="G168" s="291"/>
      <c r="H168" s="291"/>
      <c r="I168" s="291" t="s">
        <v>777</v>
      </c>
      <c r="J168" s="323">
        <v>5</v>
      </c>
      <c r="K168" s="323">
        <v>5</v>
      </c>
      <c r="L168" s="323">
        <v>5</v>
      </c>
      <c r="M168" s="323">
        <v>5</v>
      </c>
      <c r="N168" s="323">
        <v>5</v>
      </c>
      <c r="O168" s="323">
        <v>4</v>
      </c>
      <c r="P168" s="323">
        <v>4</v>
      </c>
      <c r="Q168" s="323">
        <v>4</v>
      </c>
      <c r="R168" s="292">
        <f t="shared" si="12"/>
        <v>4.8000000000000007</v>
      </c>
      <c r="S168" s="293">
        <f t="shared" si="13"/>
        <v>0.96</v>
      </c>
      <c r="T168" s="294" t="str">
        <f t="shared" si="14"/>
        <v>Grade-A</v>
      </c>
      <c r="U168" s="296">
        <f>IFERROR(VLOOKUP(F168,[3]Database!F:G,2,0),0)</f>
        <v>700</v>
      </c>
      <c r="V168" s="296">
        <v>1</v>
      </c>
      <c r="W168" s="297">
        <v>0.89694399005601633</v>
      </c>
      <c r="X168" s="326">
        <v>600</v>
      </c>
      <c r="Y168" s="296">
        <v>1</v>
      </c>
      <c r="Z168" s="297">
        <v>0.89694399005601633</v>
      </c>
      <c r="AA168" s="326">
        <v>600</v>
      </c>
      <c r="AB168" s="296">
        <v>1</v>
      </c>
      <c r="AC168" s="297">
        <v>0.89694399005601633</v>
      </c>
      <c r="AD168" s="326">
        <v>600</v>
      </c>
      <c r="AE168" s="296">
        <v>0.03</v>
      </c>
      <c r="AF168" s="297">
        <f t="shared" si="16"/>
        <v>0.7421203669467662</v>
      </c>
      <c r="AG168" s="327">
        <f t="shared" si="17"/>
        <v>20</v>
      </c>
    </row>
    <row r="169" spans="1:33">
      <c r="A169" s="60">
        <f t="shared" si="15"/>
        <v>162</v>
      </c>
      <c r="B169" s="61">
        <v>15901</v>
      </c>
      <c r="C169" s="62" t="s">
        <v>156</v>
      </c>
      <c r="D169" s="62" t="s">
        <v>32</v>
      </c>
      <c r="E169" s="62" t="s">
        <v>175</v>
      </c>
      <c r="F169" s="36" t="s">
        <v>376</v>
      </c>
      <c r="G169" s="62"/>
      <c r="H169" s="62"/>
      <c r="I169" s="62" t="s">
        <v>360</v>
      </c>
      <c r="J169" s="77">
        <v>5</v>
      </c>
      <c r="K169" s="77">
        <v>5</v>
      </c>
      <c r="L169" s="77">
        <v>5</v>
      </c>
      <c r="M169" s="77">
        <v>5</v>
      </c>
      <c r="N169" s="77">
        <v>4</v>
      </c>
      <c r="O169" s="77">
        <v>5</v>
      </c>
      <c r="P169" s="77">
        <v>4</v>
      </c>
      <c r="Q169" s="77">
        <v>5</v>
      </c>
      <c r="R169" s="63">
        <f t="shared" si="12"/>
        <v>4.8500000000000005</v>
      </c>
      <c r="S169" s="64">
        <f t="shared" si="13"/>
        <v>0.97</v>
      </c>
      <c r="T169" s="65" t="str">
        <f t="shared" si="14"/>
        <v>Grade-A</v>
      </c>
      <c r="U169" s="66">
        <f>IFERROR(VLOOKUP(F169,[3]Database!F:G,2,0),0)</f>
        <v>700</v>
      </c>
      <c r="V169" s="66">
        <v>1</v>
      </c>
      <c r="W169" s="84">
        <v>0.89694399005601633</v>
      </c>
      <c r="X169" s="87">
        <v>600</v>
      </c>
      <c r="Y169" s="66">
        <v>1</v>
      </c>
      <c r="Z169" s="84">
        <v>0.89694399005601633</v>
      </c>
      <c r="AA169" s="87">
        <v>600</v>
      </c>
      <c r="AB169" s="66">
        <v>1</v>
      </c>
      <c r="AC169" s="84">
        <v>0.89694399005601633</v>
      </c>
      <c r="AD169" s="87">
        <v>600</v>
      </c>
      <c r="AE169" s="66">
        <v>1</v>
      </c>
      <c r="AF169" s="84">
        <f t="shared" si="16"/>
        <v>0.7421203669467662</v>
      </c>
      <c r="AG169" s="235">
        <f t="shared" si="17"/>
        <v>510</v>
      </c>
    </row>
    <row r="170" spans="1:33" s="78" customFormat="1">
      <c r="A170" s="60">
        <f t="shared" si="15"/>
        <v>163</v>
      </c>
      <c r="B170" s="61">
        <v>19412</v>
      </c>
      <c r="C170" s="62" t="s">
        <v>514</v>
      </c>
      <c r="D170" s="62" t="s">
        <v>33</v>
      </c>
      <c r="E170" s="62" t="s">
        <v>33</v>
      </c>
      <c r="F170" s="36" t="s">
        <v>368</v>
      </c>
      <c r="G170" s="62"/>
      <c r="H170" s="62"/>
      <c r="I170" s="62" t="s">
        <v>360</v>
      </c>
      <c r="J170" s="77">
        <v>5</v>
      </c>
      <c r="K170" s="77">
        <v>4</v>
      </c>
      <c r="L170" s="77">
        <v>5</v>
      </c>
      <c r="M170" s="77">
        <v>5</v>
      </c>
      <c r="N170" s="77">
        <v>5</v>
      </c>
      <c r="O170" s="77">
        <v>5</v>
      </c>
      <c r="P170" s="77">
        <v>4</v>
      </c>
      <c r="Q170" s="77">
        <v>5</v>
      </c>
      <c r="R170" s="63">
        <f t="shared" si="12"/>
        <v>4.75</v>
      </c>
      <c r="S170" s="64">
        <f t="shared" si="13"/>
        <v>0.95</v>
      </c>
      <c r="T170" s="65" t="str">
        <f t="shared" si="14"/>
        <v>Grade-A</v>
      </c>
      <c r="U170" s="66">
        <f>IFERROR(VLOOKUP(F170,[3]Database!F:G,2,0),0)</f>
        <v>850</v>
      </c>
      <c r="V170" s="66">
        <v>1</v>
      </c>
      <c r="W170" s="84">
        <v>0.89694399005601633</v>
      </c>
      <c r="X170" s="87">
        <v>720</v>
      </c>
      <c r="Y170" s="66">
        <v>1</v>
      </c>
      <c r="Z170" s="84">
        <v>0.89694399005601633</v>
      </c>
      <c r="AA170" s="87">
        <v>720</v>
      </c>
      <c r="AB170" s="66">
        <v>0.81</v>
      </c>
      <c r="AC170" s="84">
        <v>0.89694399005601633</v>
      </c>
      <c r="AD170" s="87">
        <v>590</v>
      </c>
      <c r="AE170" s="66">
        <v>1</v>
      </c>
      <c r="AF170" s="84">
        <f t="shared" si="16"/>
        <v>0.7421203669467662</v>
      </c>
      <c r="AG170" s="235">
        <f t="shared" si="17"/>
        <v>600</v>
      </c>
    </row>
    <row r="171" spans="1:33">
      <c r="A171" s="60">
        <f t="shared" si="15"/>
        <v>164</v>
      </c>
      <c r="B171" s="69">
        <v>17872</v>
      </c>
      <c r="C171" s="70" t="s">
        <v>157</v>
      </c>
      <c r="D171" s="70" t="s">
        <v>33</v>
      </c>
      <c r="E171" s="70" t="s">
        <v>33</v>
      </c>
      <c r="F171" s="83" t="s">
        <v>368</v>
      </c>
      <c r="G171" s="70"/>
      <c r="H171" s="70"/>
      <c r="I171" s="62" t="s">
        <v>360</v>
      </c>
      <c r="J171" s="77">
        <v>5</v>
      </c>
      <c r="K171" s="77">
        <v>5</v>
      </c>
      <c r="L171" s="77">
        <v>4</v>
      </c>
      <c r="M171" s="77">
        <v>5</v>
      </c>
      <c r="N171" s="77">
        <v>4</v>
      </c>
      <c r="O171" s="77">
        <v>5</v>
      </c>
      <c r="P171" s="77">
        <v>4</v>
      </c>
      <c r="Q171" s="77">
        <v>5</v>
      </c>
      <c r="R171" s="63">
        <f t="shared" si="12"/>
        <v>4.75</v>
      </c>
      <c r="S171" s="64">
        <f t="shared" si="13"/>
        <v>0.95</v>
      </c>
      <c r="T171" s="65" t="str">
        <f t="shared" si="14"/>
        <v>Grade-A</v>
      </c>
      <c r="U171" s="66">
        <f>IFERROR(VLOOKUP(F171,[3]Database!F:G,2,0),0)</f>
        <v>850</v>
      </c>
      <c r="V171" s="90">
        <v>0.9</v>
      </c>
      <c r="W171" s="91">
        <v>0.89694399005601633</v>
      </c>
      <c r="X171" s="89">
        <v>600</v>
      </c>
      <c r="Y171" s="90">
        <v>0.9</v>
      </c>
      <c r="Z171" s="91">
        <v>0.89694399005601633</v>
      </c>
      <c r="AA171" s="89">
        <v>600</v>
      </c>
      <c r="AB171" s="90">
        <v>1</v>
      </c>
      <c r="AC171" s="91">
        <v>0.89694399005601633</v>
      </c>
      <c r="AD171" s="89">
        <v>660</v>
      </c>
      <c r="AE171" s="90">
        <v>1</v>
      </c>
      <c r="AF171" s="91">
        <f t="shared" si="16"/>
        <v>0.7421203669467662</v>
      </c>
      <c r="AG171" s="234">
        <f t="shared" si="17"/>
        <v>600</v>
      </c>
    </row>
    <row r="172" spans="1:33">
      <c r="A172" s="60">
        <f t="shared" si="15"/>
        <v>165</v>
      </c>
      <c r="B172" s="61">
        <v>15860</v>
      </c>
      <c r="C172" s="62" t="s">
        <v>515</v>
      </c>
      <c r="D172" s="62" t="s">
        <v>180</v>
      </c>
      <c r="E172" s="62" t="s">
        <v>32</v>
      </c>
      <c r="F172" s="36" t="s">
        <v>368</v>
      </c>
      <c r="G172" s="62"/>
      <c r="H172" s="62"/>
      <c r="I172" s="62" t="s">
        <v>360</v>
      </c>
      <c r="J172" s="77">
        <v>5</v>
      </c>
      <c r="K172" s="77">
        <v>5</v>
      </c>
      <c r="L172" s="77">
        <v>5</v>
      </c>
      <c r="M172" s="77">
        <v>5</v>
      </c>
      <c r="N172" s="77">
        <v>4</v>
      </c>
      <c r="O172" s="77">
        <v>4</v>
      </c>
      <c r="P172" s="77">
        <v>4</v>
      </c>
      <c r="Q172" s="77">
        <v>5</v>
      </c>
      <c r="R172" s="63">
        <f t="shared" si="12"/>
        <v>4.75</v>
      </c>
      <c r="S172" s="64">
        <f t="shared" si="13"/>
        <v>0.95</v>
      </c>
      <c r="T172" s="65" t="str">
        <f t="shared" si="14"/>
        <v>Grade-A</v>
      </c>
      <c r="U172" s="66">
        <f>IFERROR(VLOOKUP(F172,[3]Database!F:G,2,0),0)</f>
        <v>850</v>
      </c>
      <c r="V172" s="66">
        <v>1</v>
      </c>
      <c r="W172" s="84">
        <v>0.89694399005601633</v>
      </c>
      <c r="X172" s="89">
        <v>710</v>
      </c>
      <c r="Y172" s="66">
        <v>1</v>
      </c>
      <c r="Z172" s="84">
        <v>0.89694399005601633</v>
      </c>
      <c r="AA172" s="89">
        <v>710</v>
      </c>
      <c r="AB172" s="66">
        <v>1</v>
      </c>
      <c r="AC172" s="84">
        <v>0.89694399005601633</v>
      </c>
      <c r="AD172" s="89">
        <v>710</v>
      </c>
      <c r="AE172" s="66">
        <v>1</v>
      </c>
      <c r="AF172" s="84">
        <f t="shared" si="16"/>
        <v>0.7421203669467662</v>
      </c>
      <c r="AG172" s="234">
        <f t="shared" si="17"/>
        <v>600</v>
      </c>
    </row>
    <row r="173" spans="1:33">
      <c r="A173" s="60">
        <f t="shared" si="15"/>
        <v>166</v>
      </c>
      <c r="B173" s="69">
        <v>18678</v>
      </c>
      <c r="C173" s="70" t="s">
        <v>516</v>
      </c>
      <c r="D173" s="70" t="s">
        <v>180</v>
      </c>
      <c r="E173" s="70" t="s">
        <v>33</v>
      </c>
      <c r="F173" s="83" t="s">
        <v>368</v>
      </c>
      <c r="G173" s="70"/>
      <c r="H173" s="70"/>
      <c r="I173" s="62" t="s">
        <v>360</v>
      </c>
      <c r="J173" s="77">
        <v>4</v>
      </c>
      <c r="K173" s="77">
        <v>5</v>
      </c>
      <c r="L173" s="77">
        <v>4</v>
      </c>
      <c r="M173" s="77">
        <v>5</v>
      </c>
      <c r="N173" s="77">
        <v>4</v>
      </c>
      <c r="O173" s="77">
        <v>4</v>
      </c>
      <c r="P173" s="77">
        <v>3</v>
      </c>
      <c r="Q173" s="77">
        <v>4</v>
      </c>
      <c r="R173" s="63">
        <f t="shared" si="12"/>
        <v>4.25</v>
      </c>
      <c r="S173" s="64">
        <f t="shared" si="13"/>
        <v>0.85</v>
      </c>
      <c r="T173" s="65" t="str">
        <f t="shared" si="14"/>
        <v>Grade-B</v>
      </c>
      <c r="U173" s="66">
        <f>IFERROR(VLOOKUP(F173,[3]Database!F:G,2,0),0)</f>
        <v>850</v>
      </c>
      <c r="V173" s="66">
        <v>1</v>
      </c>
      <c r="W173" s="91">
        <v>0.89694399005601633</v>
      </c>
      <c r="X173" s="89">
        <v>710</v>
      </c>
      <c r="Y173" s="66">
        <v>1</v>
      </c>
      <c r="Z173" s="91">
        <v>0.89694399005601633</v>
      </c>
      <c r="AA173" s="89">
        <v>710</v>
      </c>
      <c r="AB173" s="66">
        <v>1</v>
      </c>
      <c r="AC173" s="91">
        <v>0.89694399005601633</v>
      </c>
      <c r="AD173" s="89">
        <v>710</v>
      </c>
      <c r="AE173" s="66">
        <v>1</v>
      </c>
      <c r="AF173" s="91">
        <f t="shared" si="16"/>
        <v>0.7421203669467662</v>
      </c>
      <c r="AG173" s="234">
        <f t="shared" si="17"/>
        <v>540</v>
      </c>
    </row>
    <row r="174" spans="1:33">
      <c r="A174" s="60">
        <f t="shared" si="15"/>
        <v>167</v>
      </c>
      <c r="B174" s="61">
        <v>17797</v>
      </c>
      <c r="C174" s="62" t="s">
        <v>158</v>
      </c>
      <c r="D174" s="62" t="s">
        <v>33</v>
      </c>
      <c r="E174" s="62" t="s">
        <v>33</v>
      </c>
      <c r="F174" s="36" t="s">
        <v>368</v>
      </c>
      <c r="G174" s="62"/>
      <c r="H174" s="62"/>
      <c r="I174" s="62" t="s">
        <v>360</v>
      </c>
      <c r="J174" s="77">
        <v>5</v>
      </c>
      <c r="K174" s="77">
        <v>5</v>
      </c>
      <c r="L174" s="77">
        <v>5</v>
      </c>
      <c r="M174" s="77">
        <v>5</v>
      </c>
      <c r="N174" s="77">
        <v>5</v>
      </c>
      <c r="O174" s="77">
        <v>4</v>
      </c>
      <c r="P174" s="77">
        <v>3</v>
      </c>
      <c r="Q174" s="77">
        <v>4</v>
      </c>
      <c r="R174" s="63">
        <f t="shared" si="12"/>
        <v>4.7500000000000009</v>
      </c>
      <c r="S174" s="64">
        <f t="shared" si="13"/>
        <v>0.95</v>
      </c>
      <c r="T174" s="65" t="str">
        <f t="shared" si="14"/>
        <v>Grade-A</v>
      </c>
      <c r="U174" s="66">
        <f>IFERROR(VLOOKUP(F174,[3]Database!F:G,2,0),0)</f>
        <v>850</v>
      </c>
      <c r="V174" s="66">
        <v>1</v>
      </c>
      <c r="W174" s="84">
        <v>0.89694399005601633</v>
      </c>
      <c r="X174" s="87">
        <v>740</v>
      </c>
      <c r="Y174" s="66">
        <v>1</v>
      </c>
      <c r="Z174" s="84">
        <v>0.89694399005601633</v>
      </c>
      <c r="AA174" s="87">
        <v>740</v>
      </c>
      <c r="AB174" s="66">
        <v>0.32</v>
      </c>
      <c r="AC174" s="84">
        <v>0.89694399005601633</v>
      </c>
      <c r="AD174" s="87">
        <v>240</v>
      </c>
      <c r="AE174" s="66">
        <v>0.97</v>
      </c>
      <c r="AF174" s="84">
        <f t="shared" si="16"/>
        <v>0.7421203669467662</v>
      </c>
      <c r="AG174" s="235">
        <f t="shared" si="17"/>
        <v>590</v>
      </c>
    </row>
    <row r="175" spans="1:33">
      <c r="A175" s="60">
        <f t="shared" si="15"/>
        <v>168</v>
      </c>
      <c r="B175" s="61">
        <v>17793</v>
      </c>
      <c r="C175" s="62" t="s">
        <v>159</v>
      </c>
      <c r="D175" s="62" t="s">
        <v>33</v>
      </c>
      <c r="E175" s="62" t="s">
        <v>33</v>
      </c>
      <c r="F175" s="36" t="s">
        <v>368</v>
      </c>
      <c r="G175" s="62"/>
      <c r="H175" s="62"/>
      <c r="I175" s="62" t="s">
        <v>360</v>
      </c>
      <c r="J175" s="77">
        <v>5</v>
      </c>
      <c r="K175" s="77">
        <v>4</v>
      </c>
      <c r="L175" s="77">
        <v>4</v>
      </c>
      <c r="M175" s="77">
        <v>4</v>
      </c>
      <c r="N175" s="77">
        <v>5</v>
      </c>
      <c r="O175" s="77">
        <v>5</v>
      </c>
      <c r="P175" s="77">
        <v>4</v>
      </c>
      <c r="Q175" s="77">
        <v>4</v>
      </c>
      <c r="R175" s="63">
        <f t="shared" si="12"/>
        <v>4.5</v>
      </c>
      <c r="S175" s="64">
        <f t="shared" si="13"/>
        <v>0.89999999999999991</v>
      </c>
      <c r="T175" s="65" t="str">
        <f t="shared" si="14"/>
        <v>Grade-A</v>
      </c>
      <c r="U175" s="66">
        <f>IFERROR(VLOOKUP(F175,[3]Database!F:G,2,0),0)</f>
        <v>850</v>
      </c>
      <c r="V175" s="66">
        <v>1</v>
      </c>
      <c r="W175" s="84">
        <v>0.89694399005601633</v>
      </c>
      <c r="X175" s="89">
        <v>730</v>
      </c>
      <c r="Y175" s="66">
        <v>0.97</v>
      </c>
      <c r="Z175" s="84">
        <v>0.89694399005601633</v>
      </c>
      <c r="AA175" s="89">
        <v>710</v>
      </c>
      <c r="AB175" s="66">
        <v>0.97</v>
      </c>
      <c r="AC175" s="84">
        <v>0.89694399005601633</v>
      </c>
      <c r="AD175" s="89">
        <v>710</v>
      </c>
      <c r="AE175" s="66">
        <v>0.94</v>
      </c>
      <c r="AF175" s="84">
        <f t="shared" si="16"/>
        <v>0.7421203669467662</v>
      </c>
      <c r="AG175" s="234">
        <f t="shared" si="17"/>
        <v>540</v>
      </c>
    </row>
    <row r="176" spans="1:33">
      <c r="A176" s="60">
        <f t="shared" si="15"/>
        <v>169</v>
      </c>
      <c r="B176" s="61">
        <v>3941</v>
      </c>
      <c r="C176" s="62" t="s">
        <v>517</v>
      </c>
      <c r="D176" s="62" t="s">
        <v>181</v>
      </c>
      <c r="E176" s="62" t="s">
        <v>332</v>
      </c>
      <c r="F176" s="36" t="s">
        <v>383</v>
      </c>
      <c r="G176" s="62"/>
      <c r="H176" s="62"/>
      <c r="I176" s="62" t="s">
        <v>360</v>
      </c>
      <c r="J176" s="77">
        <v>5</v>
      </c>
      <c r="K176" s="77">
        <v>5</v>
      </c>
      <c r="L176" s="77">
        <v>4</v>
      </c>
      <c r="M176" s="77">
        <v>5</v>
      </c>
      <c r="N176" s="77">
        <v>4</v>
      </c>
      <c r="O176" s="77">
        <v>5</v>
      </c>
      <c r="P176" s="77">
        <v>5</v>
      </c>
      <c r="Q176" s="77">
        <v>4</v>
      </c>
      <c r="R176" s="63">
        <f t="shared" si="12"/>
        <v>4.75</v>
      </c>
      <c r="S176" s="64">
        <f t="shared" si="13"/>
        <v>0.95</v>
      </c>
      <c r="T176" s="65" t="str">
        <f t="shared" si="14"/>
        <v>Grade-A</v>
      </c>
      <c r="U176" s="66">
        <f>IFERROR(VLOOKUP(F176,[3]Database!F:G,2,0),0)</f>
        <v>700</v>
      </c>
      <c r="V176" s="66">
        <v>0.74</v>
      </c>
      <c r="W176" s="84">
        <v>0.89694399005601633</v>
      </c>
      <c r="X176" s="87">
        <v>440</v>
      </c>
      <c r="Y176" s="66">
        <v>0</v>
      </c>
      <c r="Z176" s="84">
        <v>0.89694399005601633</v>
      </c>
      <c r="AA176" s="87">
        <v>0</v>
      </c>
      <c r="AB176" s="66">
        <v>0.42</v>
      </c>
      <c r="AC176" s="84">
        <v>0.89694399005601633</v>
      </c>
      <c r="AD176" s="87">
        <v>250</v>
      </c>
      <c r="AE176" s="66">
        <v>1</v>
      </c>
      <c r="AF176" s="84">
        <f t="shared" si="16"/>
        <v>0.7421203669467662</v>
      </c>
      <c r="AG176" s="235">
        <f t="shared" si="17"/>
        <v>500</v>
      </c>
    </row>
    <row r="177" spans="1:33" s="41" customFormat="1">
      <c r="A177" s="60">
        <f t="shared" si="15"/>
        <v>170</v>
      </c>
      <c r="B177" s="61">
        <v>24286</v>
      </c>
      <c r="C177" s="62" t="s">
        <v>518</v>
      </c>
      <c r="D177" s="62" t="s">
        <v>180</v>
      </c>
      <c r="E177" s="62" t="s">
        <v>33</v>
      </c>
      <c r="F177" s="36" t="s">
        <v>368</v>
      </c>
      <c r="G177" s="62"/>
      <c r="H177" s="62"/>
      <c r="I177" s="62" t="s">
        <v>360</v>
      </c>
      <c r="J177" s="77">
        <v>5</v>
      </c>
      <c r="K177" s="77">
        <v>5</v>
      </c>
      <c r="L177" s="77">
        <v>4</v>
      </c>
      <c r="M177" s="77">
        <v>5</v>
      </c>
      <c r="N177" s="77">
        <v>4</v>
      </c>
      <c r="O177" s="77">
        <v>5</v>
      </c>
      <c r="P177" s="77">
        <v>5</v>
      </c>
      <c r="Q177" s="77">
        <v>4</v>
      </c>
      <c r="R177" s="63">
        <f t="shared" si="12"/>
        <v>4.75</v>
      </c>
      <c r="S177" s="64">
        <f t="shared" si="13"/>
        <v>0.95</v>
      </c>
      <c r="T177" s="65" t="str">
        <f t="shared" si="14"/>
        <v>Grade-A</v>
      </c>
      <c r="U177" s="66">
        <f>IFERROR(VLOOKUP(F177,[3]Database!F:G,2,0),0)</f>
        <v>850</v>
      </c>
      <c r="V177" s="66">
        <v>0.97</v>
      </c>
      <c r="W177" s="84">
        <v>0.89694399005601633</v>
      </c>
      <c r="X177" s="89">
        <v>680</v>
      </c>
      <c r="Y177" s="66">
        <v>1</v>
      </c>
      <c r="Z177" s="84">
        <v>0.89694399005601633</v>
      </c>
      <c r="AA177" s="89">
        <v>700</v>
      </c>
      <c r="AB177" s="66">
        <v>0.97</v>
      </c>
      <c r="AC177" s="84">
        <v>0.89694399005601633</v>
      </c>
      <c r="AD177" s="89">
        <v>680</v>
      </c>
      <c r="AE177" s="66">
        <v>1</v>
      </c>
      <c r="AF177" s="84">
        <f t="shared" si="16"/>
        <v>0.7421203669467662</v>
      </c>
      <c r="AG177" s="234">
        <f t="shared" si="17"/>
        <v>600</v>
      </c>
    </row>
    <row r="178" spans="1:33" s="41" customFormat="1">
      <c r="A178" s="60">
        <f t="shared" si="15"/>
        <v>171</v>
      </c>
      <c r="B178" s="61">
        <v>21125</v>
      </c>
      <c r="C178" s="62" t="s">
        <v>160</v>
      </c>
      <c r="D178" s="62" t="s">
        <v>180</v>
      </c>
      <c r="E178" s="62" t="s">
        <v>33</v>
      </c>
      <c r="F178" s="36" t="s">
        <v>368</v>
      </c>
      <c r="G178" s="62"/>
      <c r="H178" s="62"/>
      <c r="I178" s="62" t="s">
        <v>360</v>
      </c>
      <c r="J178" s="77">
        <v>5</v>
      </c>
      <c r="K178" s="77">
        <v>4</v>
      </c>
      <c r="L178" s="77">
        <v>3</v>
      </c>
      <c r="M178" s="77">
        <v>5</v>
      </c>
      <c r="N178" s="77">
        <v>5</v>
      </c>
      <c r="O178" s="77">
        <v>5</v>
      </c>
      <c r="P178" s="77">
        <v>5</v>
      </c>
      <c r="Q178" s="77">
        <v>3</v>
      </c>
      <c r="R178" s="63">
        <f t="shared" si="12"/>
        <v>4.5</v>
      </c>
      <c r="S178" s="64">
        <f t="shared" si="13"/>
        <v>0.9</v>
      </c>
      <c r="T178" s="65" t="str">
        <f t="shared" si="14"/>
        <v>Grade-A</v>
      </c>
      <c r="U178" s="66">
        <f>IFERROR(VLOOKUP(F178,[3]Database!F:G,2,0),0)</f>
        <v>850</v>
      </c>
      <c r="V178" s="66">
        <v>1</v>
      </c>
      <c r="W178" s="84">
        <v>0.89694399005601633</v>
      </c>
      <c r="X178" s="87">
        <v>730</v>
      </c>
      <c r="Y178" s="66">
        <v>1</v>
      </c>
      <c r="Z178" s="84">
        <v>0.89694399005601633</v>
      </c>
      <c r="AA178" s="87">
        <v>730</v>
      </c>
      <c r="AB178" s="66">
        <v>0.45</v>
      </c>
      <c r="AC178" s="84">
        <v>0.89694399005601633</v>
      </c>
      <c r="AD178" s="87">
        <v>330</v>
      </c>
      <c r="AE178" s="66">
        <v>1</v>
      </c>
      <c r="AF178" s="84">
        <f t="shared" si="16"/>
        <v>0.7421203669467662</v>
      </c>
      <c r="AG178" s="235">
        <f t="shared" si="17"/>
        <v>570</v>
      </c>
    </row>
    <row r="179" spans="1:33">
      <c r="A179" s="60">
        <f t="shared" si="15"/>
        <v>172</v>
      </c>
      <c r="B179" s="69">
        <v>21217</v>
      </c>
      <c r="C179" s="70" t="s">
        <v>519</v>
      </c>
      <c r="D179" s="70" t="s">
        <v>180</v>
      </c>
      <c r="E179" s="70" t="s">
        <v>32</v>
      </c>
      <c r="F179" s="83" t="s">
        <v>368</v>
      </c>
      <c r="G179" s="70"/>
      <c r="H179" s="70"/>
      <c r="I179" s="62" t="s">
        <v>360</v>
      </c>
      <c r="J179" s="77">
        <v>5</v>
      </c>
      <c r="K179" s="77">
        <v>4</v>
      </c>
      <c r="L179" s="77">
        <v>3</v>
      </c>
      <c r="M179" s="77">
        <v>5</v>
      </c>
      <c r="N179" s="77">
        <v>4</v>
      </c>
      <c r="O179" s="77">
        <v>4</v>
      </c>
      <c r="P179" s="77">
        <v>4</v>
      </c>
      <c r="Q179" s="77">
        <v>3</v>
      </c>
      <c r="R179" s="63">
        <f t="shared" si="12"/>
        <v>4.25</v>
      </c>
      <c r="S179" s="64">
        <f t="shared" si="13"/>
        <v>0.85</v>
      </c>
      <c r="T179" s="65" t="str">
        <f t="shared" si="14"/>
        <v>Grade-B</v>
      </c>
      <c r="U179" s="66">
        <f>IFERROR(VLOOKUP(F179,[3]Database!F:G,2,0),0)</f>
        <v>850</v>
      </c>
      <c r="V179" s="66">
        <v>1</v>
      </c>
      <c r="W179" s="91">
        <v>0.89694399005601633</v>
      </c>
      <c r="X179" s="89">
        <v>700</v>
      </c>
      <c r="Y179" s="66">
        <v>1</v>
      </c>
      <c r="Z179" s="91">
        <v>0.89694399005601633</v>
      </c>
      <c r="AA179" s="89">
        <v>700</v>
      </c>
      <c r="AB179" s="66">
        <v>1</v>
      </c>
      <c r="AC179" s="91">
        <v>0.89694399005601633</v>
      </c>
      <c r="AD179" s="89">
        <v>700</v>
      </c>
      <c r="AE179" s="66">
        <v>0.97</v>
      </c>
      <c r="AF179" s="91">
        <f t="shared" si="16"/>
        <v>0.7421203669467662</v>
      </c>
      <c r="AG179" s="234">
        <f t="shared" si="17"/>
        <v>530</v>
      </c>
    </row>
    <row r="180" spans="1:33">
      <c r="A180" s="60">
        <f t="shared" si="15"/>
        <v>173</v>
      </c>
      <c r="B180" s="69">
        <v>16738</v>
      </c>
      <c r="C180" s="70" t="s">
        <v>520</v>
      </c>
      <c r="D180" s="70" t="s">
        <v>180</v>
      </c>
      <c r="E180" s="70" t="s">
        <v>32</v>
      </c>
      <c r="F180" s="83" t="s">
        <v>665</v>
      </c>
      <c r="G180" s="70"/>
      <c r="H180" s="70"/>
      <c r="I180" s="62" t="s">
        <v>360</v>
      </c>
      <c r="J180" s="77">
        <v>5</v>
      </c>
      <c r="K180" s="77">
        <v>5</v>
      </c>
      <c r="L180" s="77">
        <v>4</v>
      </c>
      <c r="M180" s="77">
        <v>5</v>
      </c>
      <c r="N180" s="77">
        <v>5</v>
      </c>
      <c r="O180" s="77">
        <v>5</v>
      </c>
      <c r="P180" s="77">
        <v>4</v>
      </c>
      <c r="Q180" s="77">
        <v>5</v>
      </c>
      <c r="R180" s="63">
        <f t="shared" si="12"/>
        <v>4.8500000000000005</v>
      </c>
      <c r="S180" s="64">
        <f t="shared" si="13"/>
        <v>0.97</v>
      </c>
      <c r="T180" s="65" t="str">
        <f t="shared" si="14"/>
        <v>Grade-A</v>
      </c>
      <c r="U180" s="66">
        <f>IFERROR(VLOOKUP(F180,[3]Database!F:G,2,0),0)</f>
        <v>700</v>
      </c>
      <c r="V180" s="90">
        <v>1</v>
      </c>
      <c r="W180" s="91">
        <v>0.89694399005601633</v>
      </c>
      <c r="X180" s="89">
        <v>580</v>
      </c>
      <c r="Y180" s="90">
        <v>1</v>
      </c>
      <c r="Z180" s="91">
        <v>0.89694399005601633</v>
      </c>
      <c r="AA180" s="89">
        <v>580</v>
      </c>
      <c r="AB180" s="90">
        <v>0</v>
      </c>
      <c r="AC180" s="91">
        <v>0.89694399005601633</v>
      </c>
      <c r="AD180" s="89">
        <v>0</v>
      </c>
      <c r="AE180" s="90">
        <v>1</v>
      </c>
      <c r="AF180" s="91">
        <f t="shared" si="16"/>
        <v>0.7421203669467662</v>
      </c>
      <c r="AG180" s="234">
        <f t="shared" si="17"/>
        <v>510</v>
      </c>
    </row>
    <row r="181" spans="1:33" s="8" customFormat="1">
      <c r="A181" s="60">
        <f t="shared" si="15"/>
        <v>174</v>
      </c>
      <c r="B181" s="69">
        <v>15784</v>
      </c>
      <c r="C181" s="70" t="s">
        <v>521</v>
      </c>
      <c r="D181" s="70" t="s">
        <v>180</v>
      </c>
      <c r="E181" s="70" t="s">
        <v>33</v>
      </c>
      <c r="F181" s="83" t="s">
        <v>368</v>
      </c>
      <c r="G181" s="70"/>
      <c r="H181" s="70"/>
      <c r="I181" s="62" t="s">
        <v>360</v>
      </c>
      <c r="J181" s="77">
        <v>5</v>
      </c>
      <c r="K181" s="77">
        <v>4</v>
      </c>
      <c r="L181" s="77">
        <v>4</v>
      </c>
      <c r="M181" s="77">
        <v>4</v>
      </c>
      <c r="N181" s="77">
        <v>5</v>
      </c>
      <c r="O181" s="77">
        <v>5</v>
      </c>
      <c r="P181" s="77">
        <v>4</v>
      </c>
      <c r="Q181" s="77">
        <v>4</v>
      </c>
      <c r="R181" s="63">
        <f t="shared" si="12"/>
        <v>4.5</v>
      </c>
      <c r="S181" s="64">
        <f t="shared" si="13"/>
        <v>0.89999999999999991</v>
      </c>
      <c r="T181" s="65" t="str">
        <f t="shared" si="14"/>
        <v>Grade-A</v>
      </c>
      <c r="U181" s="66">
        <f>IFERROR(VLOOKUP(F181,[3]Database!F:G,2,0),0)</f>
        <v>850</v>
      </c>
      <c r="V181" s="66">
        <v>1</v>
      </c>
      <c r="W181" s="91">
        <v>0.89694399005601633</v>
      </c>
      <c r="X181" s="89">
        <v>720</v>
      </c>
      <c r="Y181" s="66">
        <v>1</v>
      </c>
      <c r="Z181" s="91">
        <v>0.89694399005601633</v>
      </c>
      <c r="AA181" s="89">
        <v>720</v>
      </c>
      <c r="AB181" s="66">
        <v>1</v>
      </c>
      <c r="AC181" s="91">
        <v>0.89694399005601633</v>
      </c>
      <c r="AD181" s="89">
        <v>720</v>
      </c>
      <c r="AE181" s="66">
        <v>1</v>
      </c>
      <c r="AF181" s="91">
        <f t="shared" si="16"/>
        <v>0.7421203669467662</v>
      </c>
      <c r="AG181" s="234">
        <f t="shared" si="17"/>
        <v>570</v>
      </c>
    </row>
    <row r="182" spans="1:33">
      <c r="A182" s="60">
        <f t="shared" si="15"/>
        <v>175</v>
      </c>
      <c r="B182" s="290">
        <v>16995</v>
      </c>
      <c r="C182" s="291" t="s">
        <v>161</v>
      </c>
      <c r="D182" s="291" t="s">
        <v>180</v>
      </c>
      <c r="E182" s="291" t="s">
        <v>32</v>
      </c>
      <c r="F182" s="250" t="s">
        <v>368</v>
      </c>
      <c r="G182" s="291"/>
      <c r="H182" s="291"/>
      <c r="I182" s="291" t="s">
        <v>775</v>
      </c>
      <c r="J182" s="323">
        <v>5</v>
      </c>
      <c r="K182" s="323">
        <v>4</v>
      </c>
      <c r="L182" s="323">
        <v>5</v>
      </c>
      <c r="M182" s="323">
        <v>5</v>
      </c>
      <c r="N182" s="323">
        <v>5</v>
      </c>
      <c r="O182" s="323">
        <v>5</v>
      </c>
      <c r="P182" s="323">
        <v>5</v>
      </c>
      <c r="Q182" s="323">
        <v>4</v>
      </c>
      <c r="R182" s="292">
        <f t="shared" si="12"/>
        <v>4.75</v>
      </c>
      <c r="S182" s="293">
        <f t="shared" si="13"/>
        <v>0.95</v>
      </c>
      <c r="T182" s="294" t="str">
        <f t="shared" si="14"/>
        <v>Grade-A</v>
      </c>
      <c r="U182" s="296">
        <f>IFERROR(VLOOKUP(F182,[3]Database!F:G,2,0),0)</f>
        <v>850</v>
      </c>
      <c r="V182" s="296">
        <v>1</v>
      </c>
      <c r="W182" s="297">
        <v>0.89694399005601633</v>
      </c>
      <c r="X182" s="326">
        <v>710</v>
      </c>
      <c r="Y182" s="296">
        <v>1</v>
      </c>
      <c r="Z182" s="297">
        <v>0.89694399005601633</v>
      </c>
      <c r="AA182" s="326">
        <v>710</v>
      </c>
      <c r="AB182" s="296">
        <v>1</v>
      </c>
      <c r="AC182" s="297">
        <v>0.89694399005601633</v>
      </c>
      <c r="AD182" s="326">
        <v>710</v>
      </c>
      <c r="AE182" s="296">
        <v>0.28999999999999998</v>
      </c>
      <c r="AF182" s="297">
        <f t="shared" si="16"/>
        <v>0.7421203669467662</v>
      </c>
      <c r="AG182" s="327">
        <f t="shared" si="17"/>
        <v>180</v>
      </c>
    </row>
    <row r="183" spans="1:33" s="8" customFormat="1">
      <c r="A183" s="60">
        <f t="shared" si="15"/>
        <v>176</v>
      </c>
      <c r="B183" s="61">
        <v>15678</v>
      </c>
      <c r="C183" s="62" t="s">
        <v>162</v>
      </c>
      <c r="D183" s="62" t="s">
        <v>180</v>
      </c>
      <c r="E183" s="62" t="s">
        <v>33</v>
      </c>
      <c r="F183" s="36" t="s">
        <v>368</v>
      </c>
      <c r="G183" s="62"/>
      <c r="H183" s="62"/>
      <c r="I183" s="62" t="s">
        <v>360</v>
      </c>
      <c r="J183" s="77">
        <v>5</v>
      </c>
      <c r="K183" s="77">
        <v>3</v>
      </c>
      <c r="L183" s="77">
        <v>5</v>
      </c>
      <c r="M183" s="77">
        <v>5</v>
      </c>
      <c r="N183" s="77">
        <v>5</v>
      </c>
      <c r="O183" s="77">
        <v>4</v>
      </c>
      <c r="P183" s="77">
        <v>5</v>
      </c>
      <c r="Q183" s="77">
        <v>5</v>
      </c>
      <c r="R183" s="63">
        <f t="shared" si="12"/>
        <v>4.5</v>
      </c>
      <c r="S183" s="64">
        <f t="shared" si="13"/>
        <v>0.9</v>
      </c>
      <c r="T183" s="65" t="str">
        <f t="shared" si="14"/>
        <v>Grade-A</v>
      </c>
      <c r="U183" s="66">
        <f>IFERROR(VLOOKUP(F183,[3]Database!F:G,2,0),0)</f>
        <v>850</v>
      </c>
      <c r="V183" s="66">
        <v>1</v>
      </c>
      <c r="W183" s="84">
        <v>0.89694399005601633</v>
      </c>
      <c r="X183" s="87">
        <v>710</v>
      </c>
      <c r="Y183" s="66">
        <v>1</v>
      </c>
      <c r="Z183" s="84">
        <v>0.89694399005601633</v>
      </c>
      <c r="AA183" s="87">
        <v>710</v>
      </c>
      <c r="AB183" s="66">
        <v>1</v>
      </c>
      <c r="AC183" s="84">
        <v>0.89694399005601633</v>
      </c>
      <c r="AD183" s="87">
        <v>710</v>
      </c>
      <c r="AE183" s="66">
        <v>0.97</v>
      </c>
      <c r="AF183" s="84">
        <f t="shared" si="16"/>
        <v>0.7421203669467662</v>
      </c>
      <c r="AG183" s="235">
        <f t="shared" si="17"/>
        <v>560</v>
      </c>
    </row>
    <row r="184" spans="1:33">
      <c r="A184" s="60">
        <f t="shared" si="15"/>
        <v>177</v>
      </c>
      <c r="B184" s="61">
        <v>929</v>
      </c>
      <c r="C184" s="62" t="s">
        <v>522</v>
      </c>
      <c r="D184" s="62" t="s">
        <v>180</v>
      </c>
      <c r="E184" s="62" t="s">
        <v>181</v>
      </c>
      <c r="F184" s="36" t="s">
        <v>368</v>
      </c>
      <c r="G184" s="105"/>
      <c r="H184" s="105"/>
      <c r="I184" s="62" t="s">
        <v>360</v>
      </c>
      <c r="J184" s="77">
        <v>5</v>
      </c>
      <c r="K184" s="77">
        <v>5</v>
      </c>
      <c r="L184" s="77">
        <v>5</v>
      </c>
      <c r="M184" s="77">
        <v>5</v>
      </c>
      <c r="N184" s="77">
        <v>4</v>
      </c>
      <c r="O184" s="77">
        <v>4</v>
      </c>
      <c r="P184" s="77">
        <v>4</v>
      </c>
      <c r="Q184" s="77">
        <v>5</v>
      </c>
      <c r="R184" s="63">
        <f t="shared" si="12"/>
        <v>4.75</v>
      </c>
      <c r="S184" s="64">
        <f t="shared" si="13"/>
        <v>0.95</v>
      </c>
      <c r="T184" s="65" t="str">
        <f t="shared" si="14"/>
        <v>Grade-A</v>
      </c>
      <c r="U184" s="66">
        <f>IFERROR(VLOOKUP(F184,[3]Database!F:G,2,0),0)</f>
        <v>850</v>
      </c>
      <c r="V184" s="66">
        <v>1</v>
      </c>
      <c r="W184" s="84">
        <v>0.89694399005601633</v>
      </c>
      <c r="X184" s="87">
        <v>690</v>
      </c>
      <c r="Y184" s="66">
        <v>1</v>
      </c>
      <c r="Z184" s="84">
        <v>0.89694399005601633</v>
      </c>
      <c r="AA184" s="87">
        <v>690</v>
      </c>
      <c r="AB184" s="66">
        <v>1</v>
      </c>
      <c r="AC184" s="84">
        <v>0.89694399005601633</v>
      </c>
      <c r="AD184" s="87">
        <v>690</v>
      </c>
      <c r="AE184" s="66">
        <v>1</v>
      </c>
      <c r="AF184" s="84">
        <f t="shared" si="16"/>
        <v>0.7421203669467662</v>
      </c>
      <c r="AG184" s="235">
        <f t="shared" si="17"/>
        <v>600</v>
      </c>
    </row>
    <row r="185" spans="1:33">
      <c r="A185" s="60">
        <f t="shared" si="15"/>
        <v>178</v>
      </c>
      <c r="B185" s="61">
        <v>18447</v>
      </c>
      <c r="C185" s="62" t="s">
        <v>523</v>
      </c>
      <c r="D185" s="62" t="s">
        <v>180</v>
      </c>
      <c r="E185" s="62" t="s">
        <v>32</v>
      </c>
      <c r="F185" s="36" t="s">
        <v>368</v>
      </c>
      <c r="G185" s="105"/>
      <c r="H185" s="105"/>
      <c r="I185" s="62" t="s">
        <v>360</v>
      </c>
      <c r="J185" s="77">
        <v>5</v>
      </c>
      <c r="K185" s="77">
        <v>5</v>
      </c>
      <c r="L185" s="77">
        <v>5</v>
      </c>
      <c r="M185" s="77">
        <v>5</v>
      </c>
      <c r="N185" s="77">
        <v>5</v>
      </c>
      <c r="O185" s="77">
        <v>4</v>
      </c>
      <c r="P185" s="77">
        <v>5</v>
      </c>
      <c r="Q185" s="77">
        <v>4</v>
      </c>
      <c r="R185" s="63">
        <f t="shared" si="12"/>
        <v>4.8500000000000005</v>
      </c>
      <c r="S185" s="64">
        <f t="shared" si="13"/>
        <v>0.97</v>
      </c>
      <c r="T185" s="65" t="str">
        <f t="shared" si="14"/>
        <v>Grade-A</v>
      </c>
      <c r="U185" s="66">
        <f>IFERROR(VLOOKUP(F185,[3]Database!F:G,2,0),0)</f>
        <v>850</v>
      </c>
      <c r="V185" s="66">
        <v>1</v>
      </c>
      <c r="W185" s="84">
        <v>0.89694399005601633</v>
      </c>
      <c r="X185" s="89">
        <v>740</v>
      </c>
      <c r="Y185" s="66">
        <v>1</v>
      </c>
      <c r="Z185" s="84">
        <v>0.89694399005601633</v>
      </c>
      <c r="AA185" s="89">
        <v>740</v>
      </c>
      <c r="AB185" s="66">
        <v>1</v>
      </c>
      <c r="AC185" s="84">
        <v>0.89694399005601633</v>
      </c>
      <c r="AD185" s="89">
        <v>740</v>
      </c>
      <c r="AE185" s="66">
        <v>1</v>
      </c>
      <c r="AF185" s="84">
        <f t="shared" si="16"/>
        <v>0.7421203669467662</v>
      </c>
      <c r="AG185" s="234">
        <f t="shared" si="17"/>
        <v>620</v>
      </c>
    </row>
    <row r="186" spans="1:33">
      <c r="A186" s="60">
        <f t="shared" si="15"/>
        <v>179</v>
      </c>
      <c r="B186" s="61">
        <v>21916</v>
      </c>
      <c r="C186" s="62" t="s">
        <v>524</v>
      </c>
      <c r="D186" s="62" t="s">
        <v>180</v>
      </c>
      <c r="E186" s="62" t="s">
        <v>33</v>
      </c>
      <c r="F186" s="36" t="s">
        <v>368</v>
      </c>
      <c r="G186" s="105"/>
      <c r="H186" s="105"/>
      <c r="I186" s="62" t="s">
        <v>761</v>
      </c>
      <c r="J186" s="77">
        <v>5</v>
      </c>
      <c r="K186" s="77">
        <v>5</v>
      </c>
      <c r="L186" s="77">
        <v>5</v>
      </c>
      <c r="M186" s="77">
        <v>4</v>
      </c>
      <c r="N186" s="77">
        <v>4</v>
      </c>
      <c r="O186" s="77">
        <v>4</v>
      </c>
      <c r="P186" s="77">
        <v>3</v>
      </c>
      <c r="Q186" s="77">
        <v>3</v>
      </c>
      <c r="R186" s="63">
        <f t="shared" si="12"/>
        <v>4.5000000000000009</v>
      </c>
      <c r="S186" s="64">
        <f t="shared" si="13"/>
        <v>0.89999999999999991</v>
      </c>
      <c r="T186" s="65" t="str">
        <f t="shared" si="14"/>
        <v>Grade-A</v>
      </c>
      <c r="U186" s="66">
        <f>IFERROR(VLOOKUP(F186,[3]Database!F:G,2,0),0)</f>
        <v>850</v>
      </c>
      <c r="V186" s="66">
        <v>1</v>
      </c>
      <c r="W186" s="84">
        <v>0.89694399005601633</v>
      </c>
      <c r="X186" s="87">
        <v>660</v>
      </c>
      <c r="Y186" s="66">
        <v>1</v>
      </c>
      <c r="Z186" s="84">
        <v>0.89694399005601633</v>
      </c>
      <c r="AA186" s="87">
        <v>660</v>
      </c>
      <c r="AB186" s="66">
        <v>0.97</v>
      </c>
      <c r="AC186" s="84">
        <v>0.89694399005601633</v>
      </c>
      <c r="AD186" s="87">
        <v>640</v>
      </c>
      <c r="AE186" s="66">
        <v>0.65</v>
      </c>
      <c r="AF186" s="84">
        <f t="shared" si="16"/>
        <v>0.7421203669467662</v>
      </c>
      <c r="AG186" s="235">
        <f t="shared" si="17"/>
        <v>370</v>
      </c>
    </row>
    <row r="187" spans="1:33">
      <c r="A187" s="60">
        <f t="shared" si="15"/>
        <v>180</v>
      </c>
      <c r="B187" s="61">
        <v>15706</v>
      </c>
      <c r="C187" s="62" t="s">
        <v>525</v>
      </c>
      <c r="D187" s="62" t="s">
        <v>180</v>
      </c>
      <c r="E187" s="62" t="s">
        <v>32</v>
      </c>
      <c r="F187" s="36" t="s">
        <v>368</v>
      </c>
      <c r="G187" s="105"/>
      <c r="H187" s="105"/>
      <c r="I187" s="62" t="s">
        <v>360</v>
      </c>
      <c r="J187" s="77">
        <v>5</v>
      </c>
      <c r="K187" s="77">
        <v>4</v>
      </c>
      <c r="L187" s="77">
        <v>4</v>
      </c>
      <c r="M187" s="77">
        <v>5</v>
      </c>
      <c r="N187" s="77">
        <v>5</v>
      </c>
      <c r="O187" s="77">
        <v>4</v>
      </c>
      <c r="P187" s="77">
        <v>4</v>
      </c>
      <c r="Q187" s="77">
        <v>4</v>
      </c>
      <c r="R187" s="63">
        <f t="shared" si="12"/>
        <v>4.5</v>
      </c>
      <c r="S187" s="64">
        <f t="shared" si="13"/>
        <v>0.89999999999999991</v>
      </c>
      <c r="T187" s="65" t="str">
        <f t="shared" si="14"/>
        <v>Grade-A</v>
      </c>
      <c r="U187" s="66">
        <f>IFERROR(VLOOKUP(F187,[3]Database!F:G,2,0),0)</f>
        <v>850</v>
      </c>
      <c r="V187" s="66">
        <v>1</v>
      </c>
      <c r="W187" s="84">
        <v>0.89694399005601633</v>
      </c>
      <c r="X187" s="89">
        <v>660</v>
      </c>
      <c r="Y187" s="66">
        <v>1</v>
      </c>
      <c r="Z187" s="84">
        <v>0.89694399005601633</v>
      </c>
      <c r="AA187" s="89">
        <v>660</v>
      </c>
      <c r="AB187" s="66">
        <v>1</v>
      </c>
      <c r="AC187" s="84">
        <v>0.89694399005601633</v>
      </c>
      <c r="AD187" s="89">
        <v>660</v>
      </c>
      <c r="AE187" s="66">
        <v>1</v>
      </c>
      <c r="AF187" s="84">
        <f t="shared" si="16"/>
        <v>0.7421203669467662</v>
      </c>
      <c r="AG187" s="234">
        <f t="shared" si="17"/>
        <v>570</v>
      </c>
    </row>
    <row r="188" spans="1:33" s="8" customFormat="1">
      <c r="A188" s="60">
        <f t="shared" si="15"/>
        <v>181</v>
      </c>
      <c r="B188" s="61">
        <v>16122</v>
      </c>
      <c r="C188" s="62" t="s">
        <v>526</v>
      </c>
      <c r="D188" s="62" t="s">
        <v>180</v>
      </c>
      <c r="E188" s="62" t="s">
        <v>32</v>
      </c>
      <c r="F188" s="36" t="s">
        <v>368</v>
      </c>
      <c r="G188" s="105"/>
      <c r="H188" s="105"/>
      <c r="I188" s="62" t="s">
        <v>360</v>
      </c>
      <c r="J188" s="77">
        <v>5</v>
      </c>
      <c r="K188" s="77">
        <v>4</v>
      </c>
      <c r="L188" s="77">
        <v>4</v>
      </c>
      <c r="M188" s="77">
        <v>5</v>
      </c>
      <c r="N188" s="77">
        <v>4</v>
      </c>
      <c r="O188" s="77">
        <v>5</v>
      </c>
      <c r="P188" s="77">
        <v>4</v>
      </c>
      <c r="Q188" s="77">
        <v>4</v>
      </c>
      <c r="R188" s="63">
        <f t="shared" si="12"/>
        <v>4.5</v>
      </c>
      <c r="S188" s="64">
        <f t="shared" si="13"/>
        <v>0.89999999999999991</v>
      </c>
      <c r="T188" s="65" t="str">
        <f t="shared" si="14"/>
        <v>Grade-A</v>
      </c>
      <c r="U188" s="66">
        <f>IFERROR(VLOOKUP(F188,[3]Database!F:G,2,0),0)</f>
        <v>850</v>
      </c>
      <c r="V188" s="66">
        <v>1</v>
      </c>
      <c r="W188" s="84">
        <v>0.89694399005601633</v>
      </c>
      <c r="X188" s="87">
        <v>660</v>
      </c>
      <c r="Y188" s="66">
        <v>1</v>
      </c>
      <c r="Z188" s="84">
        <v>0.89694399005601633</v>
      </c>
      <c r="AA188" s="87">
        <v>660</v>
      </c>
      <c r="AB188" s="66">
        <v>1</v>
      </c>
      <c r="AC188" s="84">
        <v>0.89694399005601633</v>
      </c>
      <c r="AD188" s="87">
        <v>660</v>
      </c>
      <c r="AE188" s="66">
        <v>1</v>
      </c>
      <c r="AF188" s="84">
        <f t="shared" si="16"/>
        <v>0.7421203669467662</v>
      </c>
      <c r="AG188" s="235">
        <f t="shared" si="17"/>
        <v>570</v>
      </c>
    </row>
    <row r="189" spans="1:33" s="78" customFormat="1" ht="14.1" customHeight="1">
      <c r="A189" s="60">
        <f t="shared" si="15"/>
        <v>182</v>
      </c>
      <c r="B189" s="61">
        <v>16128</v>
      </c>
      <c r="C189" s="62" t="s">
        <v>527</v>
      </c>
      <c r="D189" s="62" t="s">
        <v>180</v>
      </c>
      <c r="E189" s="62" t="s">
        <v>33</v>
      </c>
      <c r="F189" s="36" t="s">
        <v>368</v>
      </c>
      <c r="G189" s="105"/>
      <c r="H189" s="105"/>
      <c r="I189" s="62" t="s">
        <v>360</v>
      </c>
      <c r="J189" s="77">
        <v>5</v>
      </c>
      <c r="K189" s="77">
        <v>5</v>
      </c>
      <c r="L189" s="77">
        <v>5</v>
      </c>
      <c r="M189" s="77">
        <v>5</v>
      </c>
      <c r="N189" s="77">
        <v>4</v>
      </c>
      <c r="O189" s="77">
        <v>4</v>
      </c>
      <c r="P189" s="77">
        <v>4</v>
      </c>
      <c r="Q189" s="77">
        <v>5</v>
      </c>
      <c r="R189" s="63">
        <f t="shared" si="12"/>
        <v>4.75</v>
      </c>
      <c r="S189" s="64">
        <f t="shared" si="13"/>
        <v>0.95</v>
      </c>
      <c r="T189" s="65" t="str">
        <f t="shared" si="14"/>
        <v>Grade-A</v>
      </c>
      <c r="U189" s="66">
        <f>IFERROR(VLOOKUP(F189,[3]Database!F:G,2,0),0)</f>
        <v>850</v>
      </c>
      <c r="V189" s="66">
        <v>1</v>
      </c>
      <c r="W189" s="84">
        <v>0.89694399005601633</v>
      </c>
      <c r="X189" s="89">
        <v>730</v>
      </c>
      <c r="Y189" s="66">
        <v>1</v>
      </c>
      <c r="Z189" s="84">
        <v>0.89694399005601633</v>
      </c>
      <c r="AA189" s="89">
        <v>730</v>
      </c>
      <c r="AB189" s="66">
        <v>0.97</v>
      </c>
      <c r="AC189" s="84">
        <v>0.89694399005601633</v>
      </c>
      <c r="AD189" s="89">
        <v>710</v>
      </c>
      <c r="AE189" s="66">
        <v>1</v>
      </c>
      <c r="AF189" s="84">
        <f t="shared" si="16"/>
        <v>0.7421203669467662</v>
      </c>
      <c r="AG189" s="234">
        <f t="shared" si="17"/>
        <v>600</v>
      </c>
    </row>
    <row r="190" spans="1:33" ht="15.75" customHeight="1">
      <c r="A190" s="60">
        <f t="shared" si="15"/>
        <v>183</v>
      </c>
      <c r="B190" s="69">
        <v>24289</v>
      </c>
      <c r="C190" s="70" t="s">
        <v>528</v>
      </c>
      <c r="D190" s="70" t="s">
        <v>180</v>
      </c>
      <c r="E190" s="70" t="s">
        <v>33</v>
      </c>
      <c r="F190" s="83" t="s">
        <v>368</v>
      </c>
      <c r="G190" s="106"/>
      <c r="H190" s="106"/>
      <c r="I190" s="62" t="s">
        <v>360</v>
      </c>
      <c r="J190" s="71">
        <v>5</v>
      </c>
      <c r="K190" s="71">
        <v>4</v>
      </c>
      <c r="L190" s="71">
        <v>5</v>
      </c>
      <c r="M190" s="71">
        <v>5</v>
      </c>
      <c r="N190" s="71">
        <v>4</v>
      </c>
      <c r="O190" s="71">
        <v>4</v>
      </c>
      <c r="P190" s="71">
        <v>4</v>
      </c>
      <c r="Q190" s="71">
        <v>4</v>
      </c>
      <c r="R190" s="63">
        <f t="shared" si="12"/>
        <v>4.5</v>
      </c>
      <c r="S190" s="64">
        <f t="shared" si="13"/>
        <v>0.89999999999999991</v>
      </c>
      <c r="T190" s="65" t="str">
        <f t="shared" si="14"/>
        <v>Grade-A</v>
      </c>
      <c r="U190" s="66">
        <f>IFERROR(VLOOKUP(F190,[3]Database!F:G,2,0),0)</f>
        <v>850</v>
      </c>
      <c r="V190" s="90">
        <v>0.97</v>
      </c>
      <c r="W190" s="91">
        <v>0.89694399005601633</v>
      </c>
      <c r="X190" s="89">
        <v>670</v>
      </c>
      <c r="Y190" s="90">
        <v>1</v>
      </c>
      <c r="Z190" s="91">
        <v>0.89694399005601633</v>
      </c>
      <c r="AA190" s="89">
        <v>690</v>
      </c>
      <c r="AB190" s="90">
        <v>0.97</v>
      </c>
      <c r="AC190" s="91">
        <v>0.89694399005601633</v>
      </c>
      <c r="AD190" s="89">
        <v>670</v>
      </c>
      <c r="AE190" s="66">
        <v>0.97</v>
      </c>
      <c r="AF190" s="91">
        <f t="shared" si="16"/>
        <v>0.7421203669467662</v>
      </c>
      <c r="AG190" s="234">
        <f t="shared" si="17"/>
        <v>560</v>
      </c>
    </row>
    <row r="191" spans="1:33" s="41" customFormat="1">
      <c r="A191" s="60">
        <f t="shared" si="15"/>
        <v>184</v>
      </c>
      <c r="B191" s="61">
        <v>77</v>
      </c>
      <c r="C191" s="62" t="s">
        <v>529</v>
      </c>
      <c r="D191" s="62" t="s">
        <v>182</v>
      </c>
      <c r="E191" s="62" t="s">
        <v>333</v>
      </c>
      <c r="F191" s="36" t="s">
        <v>382</v>
      </c>
      <c r="G191" s="105"/>
      <c r="H191" s="105"/>
      <c r="I191" s="62" t="s">
        <v>360</v>
      </c>
      <c r="J191" s="77">
        <v>5</v>
      </c>
      <c r="K191" s="77">
        <v>5</v>
      </c>
      <c r="L191" s="77">
        <v>5</v>
      </c>
      <c r="M191" s="77">
        <v>5</v>
      </c>
      <c r="N191" s="77">
        <v>5</v>
      </c>
      <c r="O191" s="77">
        <v>4</v>
      </c>
      <c r="P191" s="77">
        <v>4</v>
      </c>
      <c r="Q191" s="77">
        <v>4</v>
      </c>
      <c r="R191" s="63">
        <f t="shared" si="12"/>
        <v>4.8000000000000007</v>
      </c>
      <c r="S191" s="64">
        <f t="shared" si="13"/>
        <v>0.96</v>
      </c>
      <c r="T191" s="65" t="str">
        <f t="shared" si="14"/>
        <v>Grade-A</v>
      </c>
      <c r="U191" s="66">
        <f>IFERROR(VLOOKUP(F191,[3]Database!F:G,2,0),0)</f>
        <v>700</v>
      </c>
      <c r="V191" s="66">
        <v>1.25</v>
      </c>
      <c r="W191" s="84">
        <v>0.89694399005601633</v>
      </c>
      <c r="X191" s="89">
        <v>760</v>
      </c>
      <c r="Y191" s="66">
        <v>1</v>
      </c>
      <c r="Z191" s="84">
        <v>0.89694399005601633</v>
      </c>
      <c r="AA191" s="89">
        <v>610</v>
      </c>
      <c r="AB191" s="66">
        <v>1</v>
      </c>
      <c r="AC191" s="84">
        <v>0.89694399005601633</v>
      </c>
      <c r="AD191" s="89">
        <v>610</v>
      </c>
      <c r="AE191" s="90">
        <v>1</v>
      </c>
      <c r="AF191" s="84">
        <f t="shared" si="16"/>
        <v>0.7421203669467662</v>
      </c>
      <c r="AG191" s="234">
        <f t="shared" si="17"/>
        <v>500</v>
      </c>
    </row>
    <row r="192" spans="1:33" s="92" customFormat="1">
      <c r="A192" s="60">
        <f t="shared" si="15"/>
        <v>185</v>
      </c>
      <c r="B192" s="70">
        <v>24341</v>
      </c>
      <c r="C192" s="70" t="s">
        <v>653</v>
      </c>
      <c r="D192" s="70" t="s">
        <v>182</v>
      </c>
      <c r="E192" s="70" t="s">
        <v>334</v>
      </c>
      <c r="F192" s="70" t="s">
        <v>382</v>
      </c>
      <c r="G192" s="70"/>
      <c r="H192" s="70"/>
      <c r="I192" s="62" t="s">
        <v>360</v>
      </c>
      <c r="J192" s="70">
        <v>4</v>
      </c>
      <c r="K192" s="70">
        <v>2</v>
      </c>
      <c r="L192" s="70">
        <v>4</v>
      </c>
      <c r="M192" s="70">
        <v>4</v>
      </c>
      <c r="N192" s="70">
        <v>4</v>
      </c>
      <c r="O192" s="70">
        <v>3</v>
      </c>
      <c r="P192" s="70">
        <v>3</v>
      </c>
      <c r="Q192" s="70">
        <v>4</v>
      </c>
      <c r="R192" s="63">
        <f t="shared" si="12"/>
        <v>3.4499999999999997</v>
      </c>
      <c r="S192" s="64">
        <f t="shared" si="13"/>
        <v>0.69000000000000017</v>
      </c>
      <c r="T192" s="65" t="str">
        <f t="shared" si="14"/>
        <v>Grade-B</v>
      </c>
      <c r="U192" s="66">
        <f>IFERROR(VLOOKUP(F192,[3]Database!F:G,2,0),0)</f>
        <v>700</v>
      </c>
      <c r="V192" s="66">
        <v>1</v>
      </c>
      <c r="W192" s="91">
        <v>0.89694399005601633</v>
      </c>
      <c r="X192" s="89">
        <v>440</v>
      </c>
      <c r="Y192" s="66">
        <v>1</v>
      </c>
      <c r="Z192" s="91">
        <v>0.89694399005601633</v>
      </c>
      <c r="AA192" s="89">
        <v>440</v>
      </c>
      <c r="AB192" s="66">
        <v>1</v>
      </c>
      <c r="AC192" s="91">
        <v>0.89694399005601633</v>
      </c>
      <c r="AD192" s="89">
        <v>440</v>
      </c>
      <c r="AE192" s="66">
        <v>1</v>
      </c>
      <c r="AF192" s="91">
        <f t="shared" si="16"/>
        <v>0.7421203669467662</v>
      </c>
      <c r="AG192" s="234">
        <f t="shared" si="17"/>
        <v>360</v>
      </c>
    </row>
    <row r="193" spans="1:33" s="8" customFormat="1">
      <c r="A193" s="60">
        <f t="shared" si="15"/>
        <v>186</v>
      </c>
      <c r="B193" s="69">
        <v>2185</v>
      </c>
      <c r="C193" s="70" t="s">
        <v>163</v>
      </c>
      <c r="D193" s="70" t="s">
        <v>183</v>
      </c>
      <c r="E193" s="70" t="s">
        <v>335</v>
      </c>
      <c r="F193" s="83" t="s">
        <v>396</v>
      </c>
      <c r="G193" s="108"/>
      <c r="H193" s="108"/>
      <c r="I193" s="62" t="s">
        <v>360</v>
      </c>
      <c r="J193" s="77">
        <v>5</v>
      </c>
      <c r="K193" s="77">
        <v>5</v>
      </c>
      <c r="L193" s="77">
        <v>5</v>
      </c>
      <c r="M193" s="77">
        <v>4</v>
      </c>
      <c r="N193" s="77">
        <v>4</v>
      </c>
      <c r="O193" s="77">
        <v>4</v>
      </c>
      <c r="P193" s="77">
        <v>5</v>
      </c>
      <c r="Q193" s="77">
        <v>5</v>
      </c>
      <c r="R193" s="63">
        <f t="shared" si="12"/>
        <v>4.7</v>
      </c>
      <c r="S193" s="64">
        <f t="shared" si="13"/>
        <v>0.94</v>
      </c>
      <c r="T193" s="65" t="str">
        <f t="shared" si="14"/>
        <v>Grade-A</v>
      </c>
      <c r="U193" s="66">
        <f>IFERROR(VLOOKUP(F193,[3]Database!F:G,2,0),0)</f>
        <v>2000</v>
      </c>
      <c r="V193" s="90">
        <v>0.53</v>
      </c>
      <c r="W193" s="91">
        <v>0.89694399005601633</v>
      </c>
      <c r="X193" s="89">
        <v>920</v>
      </c>
      <c r="Y193" s="90">
        <v>1</v>
      </c>
      <c r="Z193" s="91">
        <v>0.89694399005601633</v>
      </c>
      <c r="AA193" s="89">
        <v>1730</v>
      </c>
      <c r="AB193" s="90">
        <v>1</v>
      </c>
      <c r="AC193" s="91">
        <v>0.89694399005601633</v>
      </c>
      <c r="AD193" s="89">
        <v>1730</v>
      </c>
      <c r="AE193" s="90">
        <v>1</v>
      </c>
      <c r="AF193" s="91">
        <f t="shared" si="16"/>
        <v>0.7421203669467662</v>
      </c>
      <c r="AG193" s="234">
        <f t="shared" si="17"/>
        <v>1400</v>
      </c>
    </row>
    <row r="194" spans="1:33">
      <c r="A194" s="60">
        <f t="shared" si="15"/>
        <v>187</v>
      </c>
      <c r="B194" s="61">
        <v>3463</v>
      </c>
      <c r="C194" s="62" t="s">
        <v>530</v>
      </c>
      <c r="D194" s="62" t="s">
        <v>183</v>
      </c>
      <c r="E194" s="62" t="s">
        <v>336</v>
      </c>
      <c r="F194" s="36" t="s">
        <v>396</v>
      </c>
      <c r="G194" s="105"/>
      <c r="H194" s="105"/>
      <c r="I194" s="62" t="s">
        <v>360</v>
      </c>
      <c r="J194" s="77">
        <v>5</v>
      </c>
      <c r="K194" s="77">
        <v>5</v>
      </c>
      <c r="L194" s="77">
        <v>5</v>
      </c>
      <c r="M194" s="77">
        <v>3</v>
      </c>
      <c r="N194" s="77">
        <v>4</v>
      </c>
      <c r="O194" s="77">
        <v>4</v>
      </c>
      <c r="P194" s="77">
        <v>5</v>
      </c>
      <c r="Q194" s="77">
        <v>5</v>
      </c>
      <c r="R194" s="63">
        <f t="shared" si="12"/>
        <v>4.5999999999999996</v>
      </c>
      <c r="S194" s="64">
        <f t="shared" si="13"/>
        <v>0.91999999999999993</v>
      </c>
      <c r="T194" s="65" t="str">
        <f t="shared" si="14"/>
        <v>Grade-A</v>
      </c>
      <c r="U194" s="66">
        <f>IFERROR(VLOOKUP(F194,[3]Database!F:G,2,0),0)</f>
        <v>2000</v>
      </c>
      <c r="V194" s="66">
        <v>1</v>
      </c>
      <c r="W194" s="84">
        <v>0.89694399005601633</v>
      </c>
      <c r="X194" s="87">
        <v>1660</v>
      </c>
      <c r="Y194" s="66">
        <v>1</v>
      </c>
      <c r="Z194" s="84">
        <v>0.89694399005601633</v>
      </c>
      <c r="AA194" s="87">
        <v>1660</v>
      </c>
      <c r="AB194" s="66">
        <v>1</v>
      </c>
      <c r="AC194" s="84">
        <v>0.89694399005601633</v>
      </c>
      <c r="AD194" s="87">
        <v>1660</v>
      </c>
      <c r="AE194" s="66">
        <v>1</v>
      </c>
      <c r="AF194" s="84">
        <f t="shared" si="16"/>
        <v>0.7421203669467662</v>
      </c>
      <c r="AG194" s="235">
        <f t="shared" si="17"/>
        <v>1370</v>
      </c>
    </row>
    <row r="195" spans="1:33">
      <c r="A195" s="60">
        <f t="shared" si="15"/>
        <v>188</v>
      </c>
      <c r="B195" s="61">
        <v>23194</v>
      </c>
      <c r="C195" s="62" t="s">
        <v>531</v>
      </c>
      <c r="D195" s="62" t="s">
        <v>184</v>
      </c>
      <c r="E195" s="62" t="s">
        <v>337</v>
      </c>
      <c r="F195" s="36" t="s">
        <v>365</v>
      </c>
      <c r="G195" s="105"/>
      <c r="H195" s="105"/>
      <c r="I195" s="62" t="s">
        <v>360</v>
      </c>
      <c r="J195" s="77">
        <v>5</v>
      </c>
      <c r="K195" s="77">
        <v>5</v>
      </c>
      <c r="L195" s="77">
        <v>5</v>
      </c>
      <c r="M195" s="77">
        <v>5</v>
      </c>
      <c r="N195" s="77">
        <v>4</v>
      </c>
      <c r="O195" s="77">
        <v>4</v>
      </c>
      <c r="P195" s="77">
        <v>5</v>
      </c>
      <c r="Q195" s="77">
        <v>5</v>
      </c>
      <c r="R195" s="63">
        <f t="shared" si="12"/>
        <v>4.8</v>
      </c>
      <c r="S195" s="64">
        <f t="shared" si="13"/>
        <v>0.96</v>
      </c>
      <c r="T195" s="65" t="str">
        <f t="shared" si="14"/>
        <v>Grade-A</v>
      </c>
      <c r="U195" s="66">
        <f>IFERROR(VLOOKUP(F195,[3]Database!F:G,2,0),0)</f>
        <v>1700</v>
      </c>
      <c r="V195" s="66">
        <v>1</v>
      </c>
      <c r="W195" s="84">
        <v>0.89694399005601633</v>
      </c>
      <c r="X195" s="89">
        <v>1470</v>
      </c>
      <c r="Y195" s="66">
        <v>1</v>
      </c>
      <c r="Z195" s="84">
        <v>0.89694399005601633</v>
      </c>
      <c r="AA195" s="89">
        <v>1470</v>
      </c>
      <c r="AB195" s="66">
        <v>1</v>
      </c>
      <c r="AC195" s="84">
        <v>0.89694399005601633</v>
      </c>
      <c r="AD195" s="89">
        <v>1470</v>
      </c>
      <c r="AE195" s="66">
        <v>1.1499999999999999</v>
      </c>
      <c r="AF195" s="84">
        <f t="shared" si="16"/>
        <v>0.7421203669467662</v>
      </c>
      <c r="AG195" s="234">
        <f t="shared" si="17"/>
        <v>1400</v>
      </c>
    </row>
    <row r="196" spans="1:33">
      <c r="A196" s="60">
        <f t="shared" si="15"/>
        <v>189</v>
      </c>
      <c r="B196" s="61">
        <v>12468</v>
      </c>
      <c r="C196" s="62" t="s">
        <v>164</v>
      </c>
      <c r="D196" s="62" t="s">
        <v>185</v>
      </c>
      <c r="E196" s="62" t="s">
        <v>185</v>
      </c>
      <c r="F196" s="36" t="s">
        <v>365</v>
      </c>
      <c r="G196" s="105"/>
      <c r="H196" s="105"/>
      <c r="I196" s="62" t="s">
        <v>360</v>
      </c>
      <c r="J196" s="77">
        <v>4</v>
      </c>
      <c r="K196" s="77">
        <v>4</v>
      </c>
      <c r="L196" s="77">
        <v>5</v>
      </c>
      <c r="M196" s="77">
        <v>5</v>
      </c>
      <c r="N196" s="77">
        <v>5</v>
      </c>
      <c r="O196" s="77">
        <v>4</v>
      </c>
      <c r="P196" s="77">
        <v>5</v>
      </c>
      <c r="Q196" s="77">
        <v>5</v>
      </c>
      <c r="R196" s="63">
        <f t="shared" si="12"/>
        <v>4.4000000000000004</v>
      </c>
      <c r="S196" s="64">
        <f t="shared" si="13"/>
        <v>0.88</v>
      </c>
      <c r="T196" s="65" t="str">
        <f t="shared" si="14"/>
        <v>Grade-B</v>
      </c>
      <c r="U196" s="66">
        <f>IFERROR(VLOOKUP(F196,[3]Database!F:G,2,0),0)</f>
        <v>1700</v>
      </c>
      <c r="V196" s="66">
        <v>1</v>
      </c>
      <c r="W196" s="84">
        <v>0.89694399005601633</v>
      </c>
      <c r="X196" s="89">
        <v>1320</v>
      </c>
      <c r="Y196" s="66">
        <v>1</v>
      </c>
      <c r="Z196" s="84">
        <v>0.89694399005601633</v>
      </c>
      <c r="AA196" s="89">
        <v>1320</v>
      </c>
      <c r="AB196" s="66">
        <v>1</v>
      </c>
      <c r="AC196" s="84">
        <v>0.89694399005601633</v>
      </c>
      <c r="AD196" s="89">
        <v>1320</v>
      </c>
      <c r="AE196" s="66">
        <v>1</v>
      </c>
      <c r="AF196" s="84">
        <f t="shared" si="16"/>
        <v>0.7421203669467662</v>
      </c>
      <c r="AG196" s="234">
        <f t="shared" si="17"/>
        <v>1120</v>
      </c>
    </row>
    <row r="197" spans="1:33" s="8" customFormat="1">
      <c r="A197" s="60">
        <f t="shared" si="15"/>
        <v>190</v>
      </c>
      <c r="B197" s="69">
        <v>2768</v>
      </c>
      <c r="C197" s="70" t="s">
        <v>534</v>
      </c>
      <c r="D197" s="70" t="s">
        <v>184</v>
      </c>
      <c r="E197" s="70" t="s">
        <v>339</v>
      </c>
      <c r="F197" s="83" t="s">
        <v>365</v>
      </c>
      <c r="G197" s="108"/>
      <c r="H197" s="108"/>
      <c r="I197" s="62" t="s">
        <v>360</v>
      </c>
      <c r="J197" s="71">
        <v>5</v>
      </c>
      <c r="K197" s="71">
        <v>5</v>
      </c>
      <c r="L197" s="71">
        <v>5</v>
      </c>
      <c r="M197" s="71">
        <v>5</v>
      </c>
      <c r="N197" s="71">
        <v>4</v>
      </c>
      <c r="O197" s="71">
        <v>4</v>
      </c>
      <c r="P197" s="71">
        <v>5</v>
      </c>
      <c r="Q197" s="71">
        <v>5</v>
      </c>
      <c r="R197" s="63">
        <f t="shared" si="12"/>
        <v>4.8</v>
      </c>
      <c r="S197" s="64">
        <f t="shared" si="13"/>
        <v>0.96</v>
      </c>
      <c r="T197" s="65" t="str">
        <f t="shared" si="14"/>
        <v>Grade-A</v>
      </c>
      <c r="U197" s="66">
        <f>IFERROR(VLOOKUP(F197,[3]Database!F:G,2,0),0)</f>
        <v>1700</v>
      </c>
      <c r="V197" s="90">
        <v>1</v>
      </c>
      <c r="W197" s="91">
        <v>0.89694399005601633</v>
      </c>
      <c r="X197" s="89">
        <v>1470</v>
      </c>
      <c r="Y197" s="90">
        <v>0</v>
      </c>
      <c r="Z197" s="91">
        <v>0.89694399005601633</v>
      </c>
      <c r="AA197" s="89">
        <v>0</v>
      </c>
      <c r="AB197" s="90">
        <v>1</v>
      </c>
      <c r="AC197" s="91">
        <v>0.89694399005601633</v>
      </c>
      <c r="AD197" s="89">
        <v>1470</v>
      </c>
      <c r="AE197" s="66">
        <v>1</v>
      </c>
      <c r="AF197" s="91">
        <f t="shared" si="16"/>
        <v>0.7421203669467662</v>
      </c>
      <c r="AG197" s="234">
        <f t="shared" si="17"/>
        <v>1220</v>
      </c>
    </row>
    <row r="198" spans="1:33">
      <c r="A198" s="60">
        <f t="shared" si="15"/>
        <v>191</v>
      </c>
      <c r="B198" s="61">
        <v>19467</v>
      </c>
      <c r="C198" s="62" t="s">
        <v>636</v>
      </c>
      <c r="D198" s="62" t="s">
        <v>43</v>
      </c>
      <c r="E198" s="62" t="s">
        <v>43</v>
      </c>
      <c r="F198" s="36" t="s">
        <v>371</v>
      </c>
      <c r="G198" s="62" t="s">
        <v>439</v>
      </c>
      <c r="H198" s="105"/>
      <c r="I198" s="62" t="s">
        <v>360</v>
      </c>
      <c r="J198" s="77">
        <v>4</v>
      </c>
      <c r="K198" s="77">
        <v>5</v>
      </c>
      <c r="L198" s="77">
        <v>5</v>
      </c>
      <c r="M198" s="77">
        <v>5</v>
      </c>
      <c r="N198" s="77">
        <v>5</v>
      </c>
      <c r="O198" s="77">
        <v>5</v>
      </c>
      <c r="P198" s="77">
        <v>5</v>
      </c>
      <c r="Q198" s="77">
        <v>4</v>
      </c>
      <c r="R198" s="63">
        <f t="shared" si="12"/>
        <v>4.6500000000000004</v>
      </c>
      <c r="S198" s="64">
        <f t="shared" si="13"/>
        <v>0.93</v>
      </c>
      <c r="T198" s="65" t="str">
        <f t="shared" si="14"/>
        <v>Grade-A</v>
      </c>
      <c r="U198" s="66">
        <f>IFERROR(VLOOKUP(F198,[3]Database!F:G,2,0),0)</f>
        <v>800</v>
      </c>
      <c r="V198" s="66">
        <v>1</v>
      </c>
      <c r="W198" s="84">
        <v>0.89694399005601633</v>
      </c>
      <c r="X198" s="87">
        <v>670</v>
      </c>
      <c r="Y198" s="66">
        <v>1</v>
      </c>
      <c r="Z198" s="84">
        <v>0.89694399005601633</v>
      </c>
      <c r="AA198" s="87">
        <v>670</v>
      </c>
      <c r="AB198" s="66">
        <v>1</v>
      </c>
      <c r="AC198" s="84">
        <v>0.89694399005601633</v>
      </c>
      <c r="AD198" s="87">
        <v>670</v>
      </c>
      <c r="AE198" s="66">
        <v>1</v>
      </c>
      <c r="AF198" s="84">
        <f t="shared" si="16"/>
        <v>0.7421203669467662</v>
      </c>
      <c r="AG198" s="235">
        <f t="shared" si="17"/>
        <v>560</v>
      </c>
    </row>
    <row r="199" spans="1:33" s="8" customFormat="1">
      <c r="A199" s="60">
        <f t="shared" si="15"/>
        <v>192</v>
      </c>
      <c r="B199" s="61">
        <v>25565</v>
      </c>
      <c r="C199" s="62" t="s">
        <v>615</v>
      </c>
      <c r="D199" s="62" t="s">
        <v>173</v>
      </c>
      <c r="E199" s="62" t="s">
        <v>400</v>
      </c>
      <c r="F199" s="36" t="s">
        <v>400</v>
      </c>
      <c r="G199" s="62" t="s">
        <v>360</v>
      </c>
      <c r="H199" s="105"/>
      <c r="I199" s="62" t="s">
        <v>360</v>
      </c>
      <c r="J199" s="77">
        <v>5</v>
      </c>
      <c r="K199" s="77">
        <v>5</v>
      </c>
      <c r="L199" s="77">
        <v>5</v>
      </c>
      <c r="M199" s="77">
        <v>5</v>
      </c>
      <c r="N199" s="77">
        <v>5</v>
      </c>
      <c r="O199" s="77">
        <v>4</v>
      </c>
      <c r="P199" s="77">
        <v>5</v>
      </c>
      <c r="Q199" s="77">
        <v>5</v>
      </c>
      <c r="R199" s="63">
        <f t="shared" si="12"/>
        <v>4.9000000000000004</v>
      </c>
      <c r="S199" s="64">
        <f t="shared" si="13"/>
        <v>0.98</v>
      </c>
      <c r="T199" s="65" t="str">
        <f t="shared" si="14"/>
        <v>Grade-A</v>
      </c>
      <c r="U199" s="66">
        <f>IFERROR(VLOOKUP(F199,[3]Database!F:G,2,0),0)</f>
        <v>800</v>
      </c>
      <c r="V199" s="66">
        <v>1</v>
      </c>
      <c r="W199" s="84">
        <v>0.89694399005601633</v>
      </c>
      <c r="X199" s="87">
        <v>690</v>
      </c>
      <c r="Y199" s="66">
        <v>1</v>
      </c>
      <c r="Z199" s="84">
        <v>0.89694399005601633</v>
      </c>
      <c r="AA199" s="87">
        <v>690</v>
      </c>
      <c r="AB199" s="66">
        <v>1</v>
      </c>
      <c r="AC199" s="84">
        <v>0.89694399005601633</v>
      </c>
      <c r="AD199" s="87">
        <v>690</v>
      </c>
      <c r="AE199" s="66">
        <v>1.2</v>
      </c>
      <c r="AF199" s="84">
        <f t="shared" si="16"/>
        <v>0.7421203669467662</v>
      </c>
      <c r="AG199" s="235">
        <f t="shared" si="17"/>
        <v>700</v>
      </c>
    </row>
    <row r="200" spans="1:33">
      <c r="A200" s="60">
        <f t="shared" si="15"/>
        <v>193</v>
      </c>
      <c r="B200" s="61">
        <v>6786</v>
      </c>
      <c r="C200" s="62" t="s">
        <v>536</v>
      </c>
      <c r="D200" s="62" t="s">
        <v>173</v>
      </c>
      <c r="E200" s="62" t="s">
        <v>400</v>
      </c>
      <c r="F200" s="36" t="s">
        <v>400</v>
      </c>
      <c r="G200" s="62" t="s">
        <v>360</v>
      </c>
      <c r="H200" s="105"/>
      <c r="I200" s="62" t="s">
        <v>360</v>
      </c>
      <c r="J200" s="77">
        <v>4</v>
      </c>
      <c r="K200" s="77">
        <v>5</v>
      </c>
      <c r="L200" s="77">
        <v>5</v>
      </c>
      <c r="M200" s="77">
        <v>5</v>
      </c>
      <c r="N200" s="77">
        <v>5</v>
      </c>
      <c r="O200" s="77">
        <v>4</v>
      </c>
      <c r="P200" s="77">
        <v>4</v>
      </c>
      <c r="Q200" s="77">
        <v>4</v>
      </c>
      <c r="R200" s="63">
        <f t="shared" si="12"/>
        <v>4.5000000000000009</v>
      </c>
      <c r="S200" s="64">
        <f t="shared" si="13"/>
        <v>0.9</v>
      </c>
      <c r="T200" s="65" t="str">
        <f t="shared" si="14"/>
        <v>Grade-A</v>
      </c>
      <c r="U200" s="66">
        <f>IFERROR(VLOOKUP(F200,[3]Database!F:G,2,0),0)</f>
        <v>800</v>
      </c>
      <c r="V200" s="66">
        <v>1</v>
      </c>
      <c r="W200" s="84">
        <v>0.89694399005601633</v>
      </c>
      <c r="X200" s="87">
        <v>690</v>
      </c>
      <c r="Y200" s="66">
        <v>1</v>
      </c>
      <c r="Z200" s="84">
        <v>0.89694399005601633</v>
      </c>
      <c r="AA200" s="87">
        <v>690</v>
      </c>
      <c r="AB200" s="66">
        <v>1</v>
      </c>
      <c r="AC200" s="84">
        <v>0.89694399005601633</v>
      </c>
      <c r="AD200" s="87">
        <v>720</v>
      </c>
      <c r="AE200" s="66">
        <v>1</v>
      </c>
      <c r="AF200" s="84">
        <f t="shared" si="16"/>
        <v>0.7421203669467662</v>
      </c>
      <c r="AG200" s="235">
        <f t="shared" si="17"/>
        <v>540</v>
      </c>
    </row>
    <row r="201" spans="1:33" s="8" customFormat="1">
      <c r="A201" s="60">
        <f t="shared" si="15"/>
        <v>194</v>
      </c>
      <c r="B201" s="61">
        <v>5832</v>
      </c>
      <c r="C201" s="62" t="s">
        <v>537</v>
      </c>
      <c r="D201" s="62" t="s">
        <v>173</v>
      </c>
      <c r="E201" s="62"/>
      <c r="F201" s="36" t="s">
        <v>400</v>
      </c>
      <c r="G201" s="105"/>
      <c r="H201" s="105"/>
      <c r="I201" s="62" t="s">
        <v>765</v>
      </c>
      <c r="J201" s="77">
        <v>4</v>
      </c>
      <c r="K201" s="77">
        <v>5</v>
      </c>
      <c r="L201" s="77">
        <v>5</v>
      </c>
      <c r="M201" s="77">
        <v>4</v>
      </c>
      <c r="N201" s="77">
        <v>5</v>
      </c>
      <c r="O201" s="77">
        <v>4</v>
      </c>
      <c r="P201" s="77">
        <v>5</v>
      </c>
      <c r="Q201" s="77">
        <v>5</v>
      </c>
      <c r="R201" s="63">
        <f t="shared" ref="R201:R232" si="18">IF(B201&lt;&gt;"", J201*0.3 + K201*0.2 + L201*0.1 + M201*0.1 + N201*0.1 + O201*0.1 + P201*0.05 + Q201*0.05, "")</f>
        <v>4.5</v>
      </c>
      <c r="S201" s="64">
        <f t="shared" ref="S201:S232" si="19">IF(B201&lt;&gt;"", (($I$4/5)*J201) + (($J$4/5)*K201) + (($K$4/5)*L201) + (($L$4/5)*M201) + (($M$4/5)*N201) + (($N$4/5)*O201) + (($O$4/5)*P201) + (($P$4/5)*Q201), "")</f>
        <v>0.9</v>
      </c>
      <c r="T201" s="65" t="str">
        <f t="shared" ref="T201:T232" si="20">IF(B201&lt;&gt;"", IF(R201=0, "No-Grade",   IF(AND(R201&gt;=4.5, R201&lt;=5), "Grade-A",   IF(AND(R201&gt;=3, R201&lt;4.5), "Grade-B",   IF(AND(R201&gt;=2, R201&lt;3), "Grade-C",   IF(R201&lt;2, "Grade-D",   "Grade-D"))))), "")</f>
        <v>Grade-A</v>
      </c>
      <c r="U201" s="66">
        <f>IFERROR(VLOOKUP(F201,[3]Database!F:G,2,0),0)</f>
        <v>800</v>
      </c>
      <c r="V201" s="66">
        <v>1</v>
      </c>
      <c r="W201" s="84">
        <v>0.89694399005601633</v>
      </c>
      <c r="X201" s="87">
        <v>610</v>
      </c>
      <c r="Y201" s="66">
        <v>1</v>
      </c>
      <c r="Z201" s="84">
        <v>0.89694399005601633</v>
      </c>
      <c r="AA201" s="87">
        <v>610</v>
      </c>
      <c r="AB201" s="66">
        <v>1</v>
      </c>
      <c r="AC201" s="84">
        <v>0.89694399005601633</v>
      </c>
      <c r="AD201" s="87">
        <v>610</v>
      </c>
      <c r="AE201" s="66">
        <v>0.13</v>
      </c>
      <c r="AF201" s="84">
        <f t="shared" si="16"/>
        <v>0.7421203669467662</v>
      </c>
      <c r="AG201" s="235">
        <f t="shared" si="17"/>
        <v>70</v>
      </c>
    </row>
    <row r="202" spans="1:33">
      <c r="A202" s="60">
        <f t="shared" ref="A202:A229" si="21">A201+1</f>
        <v>195</v>
      </c>
      <c r="B202" s="61">
        <v>17147</v>
      </c>
      <c r="C202" s="62" t="s">
        <v>293</v>
      </c>
      <c r="D202" s="62" t="s">
        <v>32</v>
      </c>
      <c r="E202" s="62" t="s">
        <v>370</v>
      </c>
      <c r="F202" s="36" t="s">
        <v>372</v>
      </c>
      <c r="G202" s="62" t="s">
        <v>360</v>
      </c>
      <c r="H202" s="105"/>
      <c r="I202" s="62" t="s">
        <v>360</v>
      </c>
      <c r="J202" s="77">
        <v>5</v>
      </c>
      <c r="K202" s="77">
        <v>5</v>
      </c>
      <c r="L202" s="77">
        <v>5</v>
      </c>
      <c r="M202" s="77">
        <v>5</v>
      </c>
      <c r="N202" s="77">
        <v>4</v>
      </c>
      <c r="O202" s="77">
        <v>4</v>
      </c>
      <c r="P202" s="77">
        <v>4</v>
      </c>
      <c r="Q202" s="77">
        <v>5</v>
      </c>
      <c r="R202" s="63">
        <f t="shared" si="18"/>
        <v>4.75</v>
      </c>
      <c r="S202" s="64">
        <f t="shared" si="19"/>
        <v>0.95</v>
      </c>
      <c r="T202" s="65" t="str">
        <f t="shared" si="20"/>
        <v>Grade-A</v>
      </c>
      <c r="U202" s="66">
        <f>IFERROR(VLOOKUP(F202,[3]Database!F:G,2,0),0)</f>
        <v>800</v>
      </c>
      <c r="V202" s="66">
        <v>1</v>
      </c>
      <c r="W202" s="84">
        <v>0.89694399005601633</v>
      </c>
      <c r="X202" s="89">
        <v>640</v>
      </c>
      <c r="Y202" s="66">
        <v>1</v>
      </c>
      <c r="Z202" s="84">
        <v>0.89694399005601633</v>
      </c>
      <c r="AA202" s="89">
        <v>640</v>
      </c>
      <c r="AB202" s="66">
        <v>1</v>
      </c>
      <c r="AC202" s="84">
        <v>0.89694399005601633</v>
      </c>
      <c r="AD202" s="89">
        <v>640</v>
      </c>
      <c r="AE202" s="66">
        <v>1</v>
      </c>
      <c r="AF202" s="84">
        <f t="shared" ref="AF202:AF232" si="22">$AG$6/$AF$6</f>
        <v>0.7421203669467662</v>
      </c>
      <c r="AG202" s="234">
        <f t="shared" ref="AG202:AG232" si="23">CEILING(S202*U202*AE202*AF202,10)</f>
        <v>570</v>
      </c>
    </row>
    <row r="203" spans="1:33">
      <c r="A203" s="60">
        <f t="shared" si="21"/>
        <v>196</v>
      </c>
      <c r="B203" s="61">
        <v>17792</v>
      </c>
      <c r="C203" s="62" t="s">
        <v>288</v>
      </c>
      <c r="D203" s="62" t="s">
        <v>32</v>
      </c>
      <c r="E203" s="62" t="s">
        <v>370</v>
      </c>
      <c r="F203" s="36" t="s">
        <v>368</v>
      </c>
      <c r="G203" s="62" t="s">
        <v>440</v>
      </c>
      <c r="H203" s="105"/>
      <c r="I203" s="62" t="s">
        <v>360</v>
      </c>
      <c r="J203" s="77">
        <v>5</v>
      </c>
      <c r="K203" s="77">
        <v>4</v>
      </c>
      <c r="L203" s="77">
        <v>5</v>
      </c>
      <c r="M203" s="77">
        <v>4</v>
      </c>
      <c r="N203" s="77">
        <v>5</v>
      </c>
      <c r="O203" s="77">
        <v>4</v>
      </c>
      <c r="P203" s="77">
        <v>4</v>
      </c>
      <c r="Q203" s="77">
        <v>4</v>
      </c>
      <c r="R203" s="63">
        <f t="shared" si="18"/>
        <v>4.5</v>
      </c>
      <c r="S203" s="64">
        <f t="shared" si="19"/>
        <v>0.89999999999999991</v>
      </c>
      <c r="T203" s="65" t="str">
        <f t="shared" si="20"/>
        <v>Grade-A</v>
      </c>
      <c r="U203" s="66">
        <f>IFERROR(VLOOKUP(F203,[3]Database!F:G,2,0),0)</f>
        <v>850</v>
      </c>
      <c r="V203" s="66">
        <v>0.97</v>
      </c>
      <c r="W203" s="84">
        <v>0.89694399005601633</v>
      </c>
      <c r="X203" s="89">
        <v>600</v>
      </c>
      <c r="Y203" s="66">
        <v>0.97</v>
      </c>
      <c r="Z203" s="84">
        <v>0.89694399005601633</v>
      </c>
      <c r="AA203" s="89">
        <v>600</v>
      </c>
      <c r="AB203" s="66">
        <v>1</v>
      </c>
      <c r="AC203" s="84">
        <v>0.89694399005601633</v>
      </c>
      <c r="AD203" s="89">
        <v>610</v>
      </c>
      <c r="AE203" s="66">
        <v>1</v>
      </c>
      <c r="AF203" s="84">
        <f t="shared" si="22"/>
        <v>0.7421203669467662</v>
      </c>
      <c r="AG203" s="234">
        <f t="shared" si="23"/>
        <v>570</v>
      </c>
    </row>
    <row r="204" spans="1:33">
      <c r="A204" s="60">
        <f t="shared" si="21"/>
        <v>197</v>
      </c>
      <c r="B204" s="61">
        <v>17881</v>
      </c>
      <c r="C204" s="62" t="s">
        <v>358</v>
      </c>
      <c r="D204" s="61">
        <v>17881</v>
      </c>
      <c r="E204" s="62" t="s">
        <v>358</v>
      </c>
      <c r="F204" s="36" t="s">
        <v>371</v>
      </c>
      <c r="G204" s="105"/>
      <c r="H204" s="105"/>
      <c r="I204" s="62" t="s">
        <v>360</v>
      </c>
      <c r="J204" s="77">
        <v>4</v>
      </c>
      <c r="K204" s="77">
        <v>5</v>
      </c>
      <c r="L204" s="77">
        <v>4</v>
      </c>
      <c r="M204" s="77">
        <v>5</v>
      </c>
      <c r="N204" s="77">
        <v>5</v>
      </c>
      <c r="O204" s="77">
        <v>5</v>
      </c>
      <c r="P204" s="77">
        <v>4</v>
      </c>
      <c r="Q204" s="77">
        <v>4</v>
      </c>
      <c r="R204" s="63">
        <f t="shared" si="18"/>
        <v>4.5</v>
      </c>
      <c r="S204" s="64">
        <f t="shared" si="19"/>
        <v>0.9</v>
      </c>
      <c r="T204" s="65" t="str">
        <f t="shared" si="20"/>
        <v>Grade-A</v>
      </c>
      <c r="U204" s="66">
        <f>IFERROR(VLOOKUP(F204,[3]Database!F:G,2,0),0)</f>
        <v>800</v>
      </c>
      <c r="V204" s="66">
        <v>1</v>
      </c>
      <c r="W204" s="84">
        <v>0.89694399005601633</v>
      </c>
      <c r="X204" s="87">
        <v>640</v>
      </c>
      <c r="Y204" s="66">
        <v>1</v>
      </c>
      <c r="Z204" s="84">
        <v>0.89694399005601633</v>
      </c>
      <c r="AA204" s="87">
        <v>640</v>
      </c>
      <c r="AB204" s="66">
        <v>0.81</v>
      </c>
      <c r="AC204" s="84">
        <v>0.89694399005601633</v>
      </c>
      <c r="AD204" s="87">
        <v>520</v>
      </c>
      <c r="AE204" s="66">
        <v>1</v>
      </c>
      <c r="AF204" s="84">
        <f t="shared" si="22"/>
        <v>0.7421203669467662</v>
      </c>
      <c r="AG204" s="235">
        <f t="shared" si="23"/>
        <v>540</v>
      </c>
    </row>
    <row r="205" spans="1:33" s="8" customFormat="1" ht="12.75" customHeight="1">
      <c r="A205" s="60">
        <f t="shared" si="21"/>
        <v>198</v>
      </c>
      <c r="B205" s="69">
        <v>1520</v>
      </c>
      <c r="C205" s="70" t="s">
        <v>648</v>
      </c>
      <c r="D205" s="69"/>
      <c r="E205" s="70"/>
      <c r="F205" s="83" t="s">
        <v>368</v>
      </c>
      <c r="G205" s="108"/>
      <c r="H205" s="108"/>
      <c r="I205" s="62" t="s">
        <v>360</v>
      </c>
      <c r="J205" s="71">
        <v>5</v>
      </c>
      <c r="K205" s="71">
        <v>4</v>
      </c>
      <c r="L205" s="71">
        <v>5</v>
      </c>
      <c r="M205" s="71">
        <v>5</v>
      </c>
      <c r="N205" s="71">
        <v>5</v>
      </c>
      <c r="O205" s="71">
        <v>5</v>
      </c>
      <c r="P205" s="71">
        <v>5</v>
      </c>
      <c r="Q205" s="71">
        <v>4</v>
      </c>
      <c r="R205" s="63">
        <f t="shared" si="18"/>
        <v>4.75</v>
      </c>
      <c r="S205" s="64">
        <f t="shared" si="19"/>
        <v>0.95</v>
      </c>
      <c r="T205" s="65" t="str">
        <f t="shared" si="20"/>
        <v>Grade-A</v>
      </c>
      <c r="U205" s="66">
        <f>IFERROR(VLOOKUP(F205,[3]Database!F:G,2,0),0)</f>
        <v>850</v>
      </c>
      <c r="V205" s="66">
        <v>0.47</v>
      </c>
      <c r="W205" s="84">
        <v>0.89694399005601633</v>
      </c>
      <c r="X205" s="89">
        <v>330</v>
      </c>
      <c r="Y205" s="66">
        <v>1</v>
      </c>
      <c r="Z205" s="84">
        <v>0.89694399005601633</v>
      </c>
      <c r="AA205" s="89">
        <v>690</v>
      </c>
      <c r="AB205" s="66">
        <v>1</v>
      </c>
      <c r="AC205" s="84">
        <v>0.89694399005601633</v>
      </c>
      <c r="AD205" s="89">
        <v>690</v>
      </c>
      <c r="AE205" s="66">
        <v>1</v>
      </c>
      <c r="AF205" s="84">
        <f t="shared" si="22"/>
        <v>0.7421203669467662</v>
      </c>
      <c r="AG205" s="234">
        <f t="shared" si="23"/>
        <v>600</v>
      </c>
    </row>
    <row r="206" spans="1:33" s="8" customFormat="1" ht="12.75" customHeight="1">
      <c r="A206" s="60">
        <f t="shared" si="21"/>
        <v>199</v>
      </c>
      <c r="B206" s="61">
        <v>490</v>
      </c>
      <c r="C206" s="62" t="s">
        <v>538</v>
      </c>
      <c r="D206" s="62" t="s">
        <v>174</v>
      </c>
      <c r="E206" s="62"/>
      <c r="F206" s="62" t="s">
        <v>375</v>
      </c>
      <c r="G206" s="62"/>
      <c r="H206" s="62"/>
      <c r="I206" s="62" t="s">
        <v>360</v>
      </c>
      <c r="J206" s="77">
        <v>5</v>
      </c>
      <c r="K206" s="77">
        <v>5</v>
      </c>
      <c r="L206" s="77">
        <v>5</v>
      </c>
      <c r="M206" s="77">
        <v>5</v>
      </c>
      <c r="N206" s="77">
        <v>4</v>
      </c>
      <c r="O206" s="77">
        <v>4</v>
      </c>
      <c r="P206" s="77">
        <v>5</v>
      </c>
      <c r="Q206" s="77">
        <v>5</v>
      </c>
      <c r="R206" s="63">
        <f t="shared" si="18"/>
        <v>4.8</v>
      </c>
      <c r="S206" s="64">
        <f t="shared" si="19"/>
        <v>0.96</v>
      </c>
      <c r="T206" s="65" t="str">
        <f t="shared" si="20"/>
        <v>Grade-A</v>
      </c>
      <c r="U206" s="66">
        <f>IFERROR(VLOOKUP(F206,[3]Database!F:G,2,0),0)</f>
        <v>800</v>
      </c>
      <c r="V206" s="66">
        <v>1</v>
      </c>
      <c r="W206" s="84">
        <v>0.89694399005601633</v>
      </c>
      <c r="X206" s="89">
        <v>680</v>
      </c>
      <c r="Y206" s="66">
        <v>0.74</v>
      </c>
      <c r="Z206" s="84">
        <v>0.89694399005601633</v>
      </c>
      <c r="AA206" s="89">
        <v>500</v>
      </c>
      <c r="AB206" s="66">
        <v>1</v>
      </c>
      <c r="AC206" s="84">
        <v>0.89694399005601633</v>
      </c>
      <c r="AD206" s="89">
        <v>680</v>
      </c>
      <c r="AE206" s="66">
        <v>1</v>
      </c>
      <c r="AF206" s="84">
        <f t="shared" si="22"/>
        <v>0.7421203669467662</v>
      </c>
      <c r="AG206" s="234">
        <f t="shared" si="23"/>
        <v>570</v>
      </c>
    </row>
    <row r="207" spans="1:33">
      <c r="A207" s="60">
        <f t="shared" si="21"/>
        <v>200</v>
      </c>
      <c r="B207" s="61">
        <v>18241</v>
      </c>
      <c r="C207" s="62" t="s">
        <v>608</v>
      </c>
      <c r="D207" s="62" t="s">
        <v>32</v>
      </c>
      <c r="E207" s="62" t="s">
        <v>370</v>
      </c>
      <c r="F207" s="62" t="s">
        <v>368</v>
      </c>
      <c r="G207" s="62"/>
      <c r="H207" s="62"/>
      <c r="I207" s="62" t="s">
        <v>360</v>
      </c>
      <c r="J207" s="77">
        <v>5</v>
      </c>
      <c r="K207" s="77">
        <v>4</v>
      </c>
      <c r="L207" s="77">
        <v>4</v>
      </c>
      <c r="M207" s="77">
        <v>4</v>
      </c>
      <c r="N207" s="77">
        <v>5</v>
      </c>
      <c r="O207" s="77">
        <v>5</v>
      </c>
      <c r="P207" s="77">
        <v>4</v>
      </c>
      <c r="Q207" s="77">
        <v>4</v>
      </c>
      <c r="R207" s="63">
        <f t="shared" si="18"/>
        <v>4.5</v>
      </c>
      <c r="S207" s="64">
        <f t="shared" si="19"/>
        <v>0.89999999999999991</v>
      </c>
      <c r="T207" s="65" t="str">
        <f t="shared" si="20"/>
        <v>Grade-A</v>
      </c>
      <c r="U207" s="66">
        <f>IFERROR(VLOOKUP(F207,[3]Database!F:G,2,0),0)</f>
        <v>850</v>
      </c>
      <c r="V207" s="66">
        <v>1</v>
      </c>
      <c r="W207" s="84">
        <v>0.89694399005601633</v>
      </c>
      <c r="X207" s="89">
        <v>730</v>
      </c>
      <c r="Y207" s="66">
        <v>1</v>
      </c>
      <c r="Z207" s="84">
        <v>0.89694399005601633</v>
      </c>
      <c r="AA207" s="89">
        <v>730</v>
      </c>
      <c r="AB207" s="66">
        <v>1</v>
      </c>
      <c r="AC207" s="84">
        <v>0.89694399005601633</v>
      </c>
      <c r="AD207" s="89">
        <v>730</v>
      </c>
      <c r="AE207" s="66">
        <v>1</v>
      </c>
      <c r="AF207" s="84">
        <f t="shared" si="22"/>
        <v>0.7421203669467662</v>
      </c>
      <c r="AG207" s="234">
        <f t="shared" si="23"/>
        <v>570</v>
      </c>
    </row>
    <row r="208" spans="1:33">
      <c r="A208" s="60">
        <f t="shared" si="21"/>
        <v>201</v>
      </c>
      <c r="B208" s="69">
        <v>15723</v>
      </c>
      <c r="C208" s="70" t="s">
        <v>572</v>
      </c>
      <c r="D208" s="70" t="s">
        <v>304</v>
      </c>
      <c r="E208" s="70" t="s">
        <v>304</v>
      </c>
      <c r="F208" s="70" t="s">
        <v>368</v>
      </c>
      <c r="G208" s="70" t="s">
        <v>368</v>
      </c>
      <c r="H208" s="62"/>
      <c r="I208" s="62" t="s">
        <v>360</v>
      </c>
      <c r="J208" s="77">
        <v>5</v>
      </c>
      <c r="K208" s="77">
        <v>4</v>
      </c>
      <c r="L208" s="77">
        <v>5</v>
      </c>
      <c r="M208" s="77">
        <v>5</v>
      </c>
      <c r="N208" s="77">
        <v>5</v>
      </c>
      <c r="O208" s="77">
        <v>5</v>
      </c>
      <c r="P208" s="77">
        <v>5</v>
      </c>
      <c r="Q208" s="77">
        <v>4</v>
      </c>
      <c r="R208" s="63">
        <f t="shared" si="18"/>
        <v>4.75</v>
      </c>
      <c r="S208" s="64">
        <f t="shared" si="19"/>
        <v>0.95</v>
      </c>
      <c r="T208" s="65" t="str">
        <f t="shared" si="20"/>
        <v>Grade-A</v>
      </c>
      <c r="U208" s="66">
        <f>IFERROR(VLOOKUP(F208,[3]Database!F:G,2,0),0)</f>
        <v>850</v>
      </c>
      <c r="V208" s="66">
        <v>1</v>
      </c>
      <c r="W208" s="84">
        <v>0.89694399005601633</v>
      </c>
      <c r="X208" s="89">
        <v>700</v>
      </c>
      <c r="Y208" s="66">
        <v>1</v>
      </c>
      <c r="Z208" s="84">
        <v>0.89694399005601633</v>
      </c>
      <c r="AA208" s="89">
        <v>700</v>
      </c>
      <c r="AB208" s="66">
        <v>1</v>
      </c>
      <c r="AC208" s="84">
        <v>0.89694399005601633</v>
      </c>
      <c r="AD208" s="89">
        <v>700</v>
      </c>
      <c r="AE208" s="66">
        <v>1</v>
      </c>
      <c r="AF208" s="84">
        <f t="shared" si="22"/>
        <v>0.7421203669467662</v>
      </c>
      <c r="AG208" s="234">
        <f t="shared" si="23"/>
        <v>600</v>
      </c>
    </row>
    <row r="209" spans="1:33">
      <c r="A209" s="60">
        <f t="shared" si="21"/>
        <v>202</v>
      </c>
      <c r="B209" s="69">
        <v>17490</v>
      </c>
      <c r="C209" s="70" t="s">
        <v>574</v>
      </c>
      <c r="D209" s="70" t="s">
        <v>304</v>
      </c>
      <c r="E209" s="70" t="s">
        <v>304</v>
      </c>
      <c r="F209" s="70" t="s">
        <v>369</v>
      </c>
      <c r="G209" s="70" t="s">
        <v>368</v>
      </c>
      <c r="H209" s="62"/>
      <c r="I209" s="62" t="s">
        <v>360</v>
      </c>
      <c r="J209" s="77">
        <v>5</v>
      </c>
      <c r="K209" s="77">
        <v>4</v>
      </c>
      <c r="L209" s="77">
        <v>4</v>
      </c>
      <c r="M209" s="77">
        <v>4</v>
      </c>
      <c r="N209" s="77">
        <v>4</v>
      </c>
      <c r="O209" s="77">
        <v>4</v>
      </c>
      <c r="P209" s="77">
        <v>3</v>
      </c>
      <c r="Q209" s="77">
        <v>4</v>
      </c>
      <c r="R209" s="63">
        <f t="shared" si="18"/>
        <v>4.25</v>
      </c>
      <c r="S209" s="64">
        <f t="shared" si="19"/>
        <v>0.84999999999999987</v>
      </c>
      <c r="T209" s="65" t="str">
        <f t="shared" si="20"/>
        <v>Grade-B</v>
      </c>
      <c r="U209" s="66">
        <f>IFERROR(VLOOKUP(F209,[3]Database!F:G,2,0),0)</f>
        <v>1000</v>
      </c>
      <c r="V209" s="66">
        <v>1</v>
      </c>
      <c r="W209" s="84">
        <v>0.89694399005601633</v>
      </c>
      <c r="X209" s="89">
        <v>790</v>
      </c>
      <c r="Y209" s="66">
        <v>1</v>
      </c>
      <c r="Z209" s="84">
        <v>0.89694399005601633</v>
      </c>
      <c r="AA209" s="89">
        <v>790</v>
      </c>
      <c r="AB209" s="66">
        <v>1</v>
      </c>
      <c r="AC209" s="84">
        <v>0.89694399005601633</v>
      </c>
      <c r="AD209" s="89">
        <v>790</v>
      </c>
      <c r="AE209" s="66">
        <v>1</v>
      </c>
      <c r="AF209" s="84">
        <f t="shared" si="22"/>
        <v>0.7421203669467662</v>
      </c>
      <c r="AG209" s="234">
        <f t="shared" si="23"/>
        <v>640</v>
      </c>
    </row>
    <row r="210" spans="1:33">
      <c r="A210" s="60">
        <f t="shared" si="21"/>
        <v>203</v>
      </c>
      <c r="B210" s="69">
        <v>17745</v>
      </c>
      <c r="C210" s="70" t="s">
        <v>153</v>
      </c>
      <c r="D210" s="70" t="s">
        <v>304</v>
      </c>
      <c r="E210" s="70" t="s">
        <v>304</v>
      </c>
      <c r="F210" s="70" t="s">
        <v>368</v>
      </c>
      <c r="G210" s="70" t="s">
        <v>368</v>
      </c>
      <c r="H210" s="62"/>
      <c r="I210" s="62" t="s">
        <v>360</v>
      </c>
      <c r="J210" s="77">
        <v>5</v>
      </c>
      <c r="K210" s="77">
        <v>4</v>
      </c>
      <c r="L210" s="77">
        <v>4</v>
      </c>
      <c r="M210" s="77">
        <v>4</v>
      </c>
      <c r="N210" s="77">
        <v>4</v>
      </c>
      <c r="O210" s="77">
        <v>4</v>
      </c>
      <c r="P210" s="77">
        <v>4</v>
      </c>
      <c r="Q210" s="77">
        <v>4</v>
      </c>
      <c r="R210" s="63">
        <f t="shared" si="18"/>
        <v>4.3</v>
      </c>
      <c r="S210" s="64">
        <f t="shared" si="19"/>
        <v>0.85999999999999988</v>
      </c>
      <c r="T210" s="65" t="str">
        <f t="shared" si="20"/>
        <v>Grade-B</v>
      </c>
      <c r="U210" s="66">
        <f>IFERROR(VLOOKUP(F210,[3]Database!F:G,2,0),0)</f>
        <v>850</v>
      </c>
      <c r="V210" s="66">
        <v>1</v>
      </c>
      <c r="W210" s="84">
        <v>0.89694399005601633</v>
      </c>
      <c r="X210" s="89">
        <v>660</v>
      </c>
      <c r="Y210" s="66">
        <v>1</v>
      </c>
      <c r="Z210" s="84">
        <v>0.89694399005601633</v>
      </c>
      <c r="AA210" s="89">
        <v>660</v>
      </c>
      <c r="AB210" s="66">
        <v>0.42</v>
      </c>
      <c r="AC210" s="84">
        <v>0.89694399005601633</v>
      </c>
      <c r="AD210" s="89">
        <v>280</v>
      </c>
      <c r="AE210" s="66">
        <v>1</v>
      </c>
      <c r="AF210" s="84">
        <f t="shared" si="22"/>
        <v>0.7421203669467662</v>
      </c>
      <c r="AG210" s="234">
        <f t="shared" si="23"/>
        <v>550</v>
      </c>
    </row>
    <row r="211" spans="1:33">
      <c r="A211" s="60">
        <f t="shared" si="21"/>
        <v>204</v>
      </c>
      <c r="B211" s="69">
        <v>5213</v>
      </c>
      <c r="C211" s="70" t="s">
        <v>687</v>
      </c>
      <c r="D211" s="70" t="s">
        <v>304</v>
      </c>
      <c r="E211" s="70" t="s">
        <v>304</v>
      </c>
      <c r="F211" s="70" t="s">
        <v>372</v>
      </c>
      <c r="G211" s="70" t="s">
        <v>371</v>
      </c>
      <c r="H211" s="62"/>
      <c r="I211" s="62" t="s">
        <v>360</v>
      </c>
      <c r="J211" s="77">
        <v>5</v>
      </c>
      <c r="K211" s="77">
        <v>5</v>
      </c>
      <c r="L211" s="77">
        <v>5</v>
      </c>
      <c r="M211" s="77">
        <v>5</v>
      </c>
      <c r="N211" s="77">
        <v>4</v>
      </c>
      <c r="O211" s="77">
        <v>5</v>
      </c>
      <c r="P211" s="77">
        <v>4</v>
      </c>
      <c r="Q211" s="77">
        <v>4</v>
      </c>
      <c r="R211" s="63">
        <f t="shared" si="18"/>
        <v>4.8000000000000007</v>
      </c>
      <c r="S211" s="64">
        <f t="shared" si="19"/>
        <v>0.96</v>
      </c>
      <c r="T211" s="65" t="str">
        <f t="shared" si="20"/>
        <v>Grade-A</v>
      </c>
      <c r="U211" s="66">
        <f>IFERROR(VLOOKUP(F211,[3]Database!F:G,2,0),0)</f>
        <v>800</v>
      </c>
      <c r="V211" s="66">
        <v>1</v>
      </c>
      <c r="W211" s="84">
        <v>0.89694399005601633</v>
      </c>
      <c r="X211" s="89">
        <v>650</v>
      </c>
      <c r="Y211" s="66">
        <v>0.94</v>
      </c>
      <c r="Z211" s="84">
        <v>0.89694399005601633</v>
      </c>
      <c r="AA211" s="89">
        <v>610</v>
      </c>
      <c r="AB211" s="66">
        <v>0.84</v>
      </c>
      <c r="AC211" s="84">
        <v>0.89694399005601633</v>
      </c>
      <c r="AD211" s="89">
        <v>550</v>
      </c>
      <c r="AE211" s="66">
        <v>1</v>
      </c>
      <c r="AF211" s="84">
        <f t="shared" si="22"/>
        <v>0.7421203669467662</v>
      </c>
      <c r="AG211" s="234">
        <f t="shared" si="23"/>
        <v>570</v>
      </c>
    </row>
    <row r="212" spans="1:33">
      <c r="A212" s="60">
        <f t="shared" si="21"/>
        <v>205</v>
      </c>
      <c r="B212" s="69">
        <v>5354</v>
      </c>
      <c r="C212" s="70" t="s">
        <v>697</v>
      </c>
      <c r="D212" s="70"/>
      <c r="E212" s="70"/>
      <c r="F212" s="83" t="s">
        <v>376</v>
      </c>
      <c r="G212" s="70"/>
      <c r="H212" s="70"/>
      <c r="I212" s="70" t="s">
        <v>360</v>
      </c>
      <c r="J212" s="77">
        <v>5</v>
      </c>
      <c r="K212" s="77">
        <v>5</v>
      </c>
      <c r="L212" s="77">
        <v>5</v>
      </c>
      <c r="M212" s="77">
        <v>5</v>
      </c>
      <c r="N212" s="77">
        <v>4</v>
      </c>
      <c r="O212" s="77">
        <v>4</v>
      </c>
      <c r="P212" s="77">
        <v>4</v>
      </c>
      <c r="Q212" s="77">
        <v>4</v>
      </c>
      <c r="R212" s="63">
        <f t="shared" si="18"/>
        <v>4.7</v>
      </c>
      <c r="S212" s="64">
        <f t="shared" si="19"/>
        <v>0.94</v>
      </c>
      <c r="T212" s="65" t="str">
        <f t="shared" si="20"/>
        <v>Grade-A</v>
      </c>
      <c r="U212" s="66">
        <f>IFERROR(VLOOKUP(F212,[3]Database!F:G,2,0),0)</f>
        <v>700</v>
      </c>
      <c r="V212" s="66">
        <v>2</v>
      </c>
      <c r="W212" s="84">
        <v>0.89694399005601633</v>
      </c>
      <c r="X212" s="89">
        <v>1140</v>
      </c>
      <c r="Y212" s="66">
        <v>1.94</v>
      </c>
      <c r="Z212" s="84">
        <v>0.89694399005601633</v>
      </c>
      <c r="AA212" s="89">
        <v>1100</v>
      </c>
      <c r="AB212" s="66">
        <v>1.84</v>
      </c>
      <c r="AC212" s="84">
        <v>0.89694399005601633</v>
      </c>
      <c r="AD212" s="89">
        <v>1040</v>
      </c>
      <c r="AE212" s="66">
        <v>1</v>
      </c>
      <c r="AF212" s="84">
        <f t="shared" si="22"/>
        <v>0.7421203669467662</v>
      </c>
      <c r="AG212" s="234">
        <f t="shared" si="23"/>
        <v>490</v>
      </c>
    </row>
    <row r="213" spans="1:33">
      <c r="A213" s="60">
        <f t="shared" si="21"/>
        <v>206</v>
      </c>
      <c r="B213" s="69">
        <v>52</v>
      </c>
      <c r="C213" s="70" t="s">
        <v>203</v>
      </c>
      <c r="D213" s="70"/>
      <c r="E213" s="70"/>
      <c r="F213" s="83" t="s">
        <v>382</v>
      </c>
      <c r="G213" s="70"/>
      <c r="H213" s="70"/>
      <c r="I213" s="70" t="s">
        <v>360</v>
      </c>
      <c r="J213" s="77">
        <v>4</v>
      </c>
      <c r="K213" s="77">
        <v>5</v>
      </c>
      <c r="L213" s="77">
        <v>5</v>
      </c>
      <c r="M213" s="77">
        <v>5</v>
      </c>
      <c r="N213" s="77">
        <v>5</v>
      </c>
      <c r="O213" s="77">
        <v>4</v>
      </c>
      <c r="P213" s="77">
        <v>5</v>
      </c>
      <c r="Q213" s="77">
        <v>4</v>
      </c>
      <c r="R213" s="63">
        <f t="shared" si="18"/>
        <v>4.5500000000000007</v>
      </c>
      <c r="S213" s="64">
        <f t="shared" si="19"/>
        <v>0.91</v>
      </c>
      <c r="T213" s="65" t="str">
        <f t="shared" si="20"/>
        <v>Grade-A</v>
      </c>
      <c r="U213" s="66">
        <f>IFERROR(VLOOKUP(F213,[3]Database!F:G,2,0),0)</f>
        <v>700</v>
      </c>
      <c r="V213" s="66"/>
      <c r="W213" s="84"/>
      <c r="X213" s="89"/>
      <c r="Y213" s="66"/>
      <c r="Z213" s="84"/>
      <c r="AA213" s="89"/>
      <c r="AB213" s="66"/>
      <c r="AC213" s="84"/>
      <c r="AD213" s="89"/>
      <c r="AE213" s="66">
        <v>1</v>
      </c>
      <c r="AF213" s="84">
        <f t="shared" si="22"/>
        <v>0.7421203669467662</v>
      </c>
      <c r="AG213" s="234">
        <f t="shared" si="23"/>
        <v>480</v>
      </c>
    </row>
    <row r="214" spans="1:33">
      <c r="A214" s="60">
        <f t="shared" si="21"/>
        <v>207</v>
      </c>
      <c r="B214" s="69">
        <v>27774</v>
      </c>
      <c r="C214" s="70" t="s">
        <v>701</v>
      </c>
      <c r="D214" s="70"/>
      <c r="E214" s="70"/>
      <c r="F214" s="83" t="s">
        <v>371</v>
      </c>
      <c r="G214" s="70"/>
      <c r="H214" s="70"/>
      <c r="I214" s="70" t="s">
        <v>360</v>
      </c>
      <c r="J214" s="77">
        <v>4</v>
      </c>
      <c r="K214" s="77">
        <v>5</v>
      </c>
      <c r="L214" s="77">
        <v>5</v>
      </c>
      <c r="M214" s="77">
        <v>5</v>
      </c>
      <c r="N214" s="77">
        <v>5</v>
      </c>
      <c r="O214" s="77">
        <v>4</v>
      </c>
      <c r="P214" s="77">
        <v>4</v>
      </c>
      <c r="Q214" s="77">
        <v>4</v>
      </c>
      <c r="R214" s="63">
        <f t="shared" si="18"/>
        <v>4.5000000000000009</v>
      </c>
      <c r="S214" s="64">
        <f t="shared" si="19"/>
        <v>0.9</v>
      </c>
      <c r="T214" s="65" t="str">
        <f t="shared" si="20"/>
        <v>Grade-A</v>
      </c>
      <c r="U214" s="66">
        <f>IFERROR(VLOOKUP(F214,[3]Database!F:G,2,0),0)</f>
        <v>800</v>
      </c>
      <c r="V214" s="66"/>
      <c r="W214" s="84"/>
      <c r="X214" s="89"/>
      <c r="Y214" s="66"/>
      <c r="Z214" s="84"/>
      <c r="AA214" s="89"/>
      <c r="AB214" s="66"/>
      <c r="AC214" s="84"/>
      <c r="AD214" s="89"/>
      <c r="AE214" s="66">
        <v>1</v>
      </c>
      <c r="AF214" s="84">
        <f t="shared" si="22"/>
        <v>0.7421203669467662</v>
      </c>
      <c r="AG214" s="234">
        <f t="shared" si="23"/>
        <v>540</v>
      </c>
    </row>
    <row r="215" spans="1:33">
      <c r="A215" s="60">
        <f t="shared" si="21"/>
        <v>208</v>
      </c>
      <c r="B215" s="69">
        <v>17798</v>
      </c>
      <c r="C215" s="70" t="s">
        <v>575</v>
      </c>
      <c r="D215" s="70"/>
      <c r="E215" s="70"/>
      <c r="F215" s="83" t="s">
        <v>368</v>
      </c>
      <c r="G215" s="70"/>
      <c r="H215" s="70"/>
      <c r="I215" s="70" t="s">
        <v>360</v>
      </c>
      <c r="J215" s="77">
        <v>4</v>
      </c>
      <c r="K215" s="77">
        <v>4</v>
      </c>
      <c r="L215" s="77">
        <v>5</v>
      </c>
      <c r="M215" s="77">
        <v>5</v>
      </c>
      <c r="N215" s="77">
        <v>5</v>
      </c>
      <c r="O215" s="77">
        <v>5</v>
      </c>
      <c r="P215" s="77">
        <v>5</v>
      </c>
      <c r="Q215" s="77">
        <v>5</v>
      </c>
      <c r="R215" s="63">
        <f t="shared" si="18"/>
        <v>4.5</v>
      </c>
      <c r="S215" s="64">
        <f t="shared" si="19"/>
        <v>0.9</v>
      </c>
      <c r="T215" s="65" t="str">
        <f t="shared" si="20"/>
        <v>Grade-A</v>
      </c>
      <c r="U215" s="66">
        <f>IFERROR(VLOOKUP(F215,[3]Database!F:G,2,0),0)</f>
        <v>850</v>
      </c>
      <c r="V215" s="66"/>
      <c r="W215" s="84"/>
      <c r="X215" s="89"/>
      <c r="Y215" s="66"/>
      <c r="Z215" s="84"/>
      <c r="AA215" s="89"/>
      <c r="AB215" s="66"/>
      <c r="AC215" s="84"/>
      <c r="AD215" s="89"/>
      <c r="AE215" s="66">
        <v>1</v>
      </c>
      <c r="AF215" s="84">
        <f t="shared" si="22"/>
        <v>0.7421203669467662</v>
      </c>
      <c r="AG215" s="234">
        <f t="shared" si="23"/>
        <v>570</v>
      </c>
    </row>
    <row r="216" spans="1:33">
      <c r="A216" s="60">
        <f t="shared" si="21"/>
        <v>209</v>
      </c>
      <c r="B216" s="69">
        <v>2177</v>
      </c>
      <c r="C216" s="70" t="s">
        <v>267</v>
      </c>
      <c r="D216" s="70" t="s">
        <v>186</v>
      </c>
      <c r="E216" s="70"/>
      <c r="F216" s="83" t="s">
        <v>365</v>
      </c>
      <c r="G216" s="70" t="s">
        <v>365</v>
      </c>
      <c r="H216" s="70"/>
      <c r="I216" s="70" t="s">
        <v>360</v>
      </c>
      <c r="J216" s="71">
        <v>5</v>
      </c>
      <c r="K216" s="71">
        <v>5</v>
      </c>
      <c r="L216" s="71">
        <v>5</v>
      </c>
      <c r="M216" s="71">
        <v>5</v>
      </c>
      <c r="N216" s="71">
        <v>4</v>
      </c>
      <c r="O216" s="71">
        <v>4</v>
      </c>
      <c r="P216" s="71">
        <v>5</v>
      </c>
      <c r="Q216" s="71">
        <v>5</v>
      </c>
      <c r="R216" s="63">
        <f t="shared" si="18"/>
        <v>4.8</v>
      </c>
      <c r="S216" s="64">
        <f t="shared" si="19"/>
        <v>0.96</v>
      </c>
      <c r="T216" s="65" t="str">
        <f t="shared" si="20"/>
        <v>Grade-A</v>
      </c>
      <c r="U216" s="66">
        <f>IFERROR(VLOOKUP(F216,[3]Database!F:G,2,0),0)</f>
        <v>1700</v>
      </c>
      <c r="V216" s="66"/>
      <c r="W216" s="84"/>
      <c r="X216" s="89"/>
      <c r="Y216" s="66"/>
      <c r="Z216" s="84"/>
      <c r="AA216" s="89"/>
      <c r="AB216" s="66"/>
      <c r="AC216" s="84"/>
      <c r="AD216" s="89"/>
      <c r="AE216" s="66">
        <v>1</v>
      </c>
      <c r="AF216" s="84">
        <f t="shared" si="22"/>
        <v>0.7421203669467662</v>
      </c>
      <c r="AG216" s="234">
        <f t="shared" si="23"/>
        <v>1220</v>
      </c>
    </row>
    <row r="217" spans="1:33">
      <c r="A217" s="60">
        <f t="shared" si="21"/>
        <v>210</v>
      </c>
      <c r="B217" s="69">
        <v>28315</v>
      </c>
      <c r="C217" s="70" t="s">
        <v>707</v>
      </c>
      <c r="D217" s="70"/>
      <c r="E217" s="70"/>
      <c r="F217" s="83" t="s">
        <v>371</v>
      </c>
      <c r="G217" s="70"/>
      <c r="H217" s="70"/>
      <c r="I217" s="70" t="s">
        <v>360</v>
      </c>
      <c r="J217" s="77">
        <v>4</v>
      </c>
      <c r="K217" s="77">
        <v>5</v>
      </c>
      <c r="L217" s="77">
        <v>5</v>
      </c>
      <c r="M217" s="77">
        <v>5</v>
      </c>
      <c r="N217" s="77">
        <v>5</v>
      </c>
      <c r="O217" s="77">
        <v>4</v>
      </c>
      <c r="P217" s="77">
        <v>5</v>
      </c>
      <c r="Q217" s="77">
        <v>5</v>
      </c>
      <c r="R217" s="63">
        <f t="shared" si="18"/>
        <v>4.6000000000000005</v>
      </c>
      <c r="S217" s="64">
        <f t="shared" si="19"/>
        <v>0.92</v>
      </c>
      <c r="T217" s="65" t="str">
        <f t="shared" si="20"/>
        <v>Grade-A</v>
      </c>
      <c r="U217" s="66">
        <f>IFERROR(VLOOKUP(F217,[3]Database!F:G,2,0),0)</f>
        <v>800</v>
      </c>
      <c r="V217" s="66"/>
      <c r="W217" s="84"/>
      <c r="X217" s="89"/>
      <c r="Y217" s="66"/>
      <c r="Z217" s="84"/>
      <c r="AA217" s="89"/>
      <c r="AB217" s="66"/>
      <c r="AC217" s="84"/>
      <c r="AD217" s="89"/>
      <c r="AE217" s="66">
        <v>1</v>
      </c>
      <c r="AF217" s="84">
        <f t="shared" si="22"/>
        <v>0.7421203669467662</v>
      </c>
      <c r="AG217" s="234">
        <f t="shared" si="23"/>
        <v>550</v>
      </c>
    </row>
    <row r="218" spans="1:33">
      <c r="A218" s="60">
        <f t="shared" si="21"/>
        <v>211</v>
      </c>
      <c r="B218" s="69">
        <v>28312</v>
      </c>
      <c r="C218" s="70" t="s">
        <v>708</v>
      </c>
      <c r="D218" s="70"/>
      <c r="E218" s="70"/>
      <c r="F218" s="83" t="s">
        <v>372</v>
      </c>
      <c r="G218" s="70"/>
      <c r="H218" s="70"/>
      <c r="I218" s="70" t="s">
        <v>360</v>
      </c>
      <c r="J218" s="77">
        <v>5</v>
      </c>
      <c r="K218" s="77">
        <v>4</v>
      </c>
      <c r="L218" s="77">
        <v>5</v>
      </c>
      <c r="M218" s="77">
        <v>5</v>
      </c>
      <c r="N218" s="77">
        <v>5</v>
      </c>
      <c r="O218" s="77">
        <v>5</v>
      </c>
      <c r="P218" s="77">
        <v>4</v>
      </c>
      <c r="Q218" s="77">
        <v>5</v>
      </c>
      <c r="R218" s="63">
        <f t="shared" si="18"/>
        <v>4.75</v>
      </c>
      <c r="S218" s="64">
        <f t="shared" si="19"/>
        <v>0.95</v>
      </c>
      <c r="T218" s="65" t="str">
        <f t="shared" si="20"/>
        <v>Grade-A</v>
      </c>
      <c r="U218" s="66">
        <f>IFERROR(VLOOKUP(F218,[3]Database!F:G,2,0),0)</f>
        <v>800</v>
      </c>
      <c r="V218" s="66"/>
      <c r="W218" s="84"/>
      <c r="X218" s="89"/>
      <c r="Y218" s="66"/>
      <c r="Z218" s="84"/>
      <c r="AA218" s="89"/>
      <c r="AB218" s="66"/>
      <c r="AC218" s="84"/>
      <c r="AD218" s="89"/>
      <c r="AE218" s="66">
        <v>1</v>
      </c>
      <c r="AF218" s="84">
        <f t="shared" si="22"/>
        <v>0.7421203669467662</v>
      </c>
      <c r="AG218" s="234">
        <f t="shared" si="23"/>
        <v>570</v>
      </c>
    </row>
    <row r="219" spans="1:33">
      <c r="A219" s="60">
        <f t="shared" si="21"/>
        <v>212</v>
      </c>
      <c r="B219" s="69">
        <v>28319</v>
      </c>
      <c r="C219" s="70" t="s">
        <v>709</v>
      </c>
      <c r="D219" s="70"/>
      <c r="E219" s="70"/>
      <c r="F219" s="83" t="s">
        <v>371</v>
      </c>
      <c r="G219" s="70"/>
      <c r="H219" s="70"/>
      <c r="I219" s="70" t="s">
        <v>360</v>
      </c>
      <c r="J219" s="77">
        <v>5</v>
      </c>
      <c r="K219" s="77">
        <v>5</v>
      </c>
      <c r="L219" s="77">
        <v>4</v>
      </c>
      <c r="M219" s="77">
        <v>4</v>
      </c>
      <c r="N219" s="77">
        <v>4</v>
      </c>
      <c r="O219" s="77">
        <v>5</v>
      </c>
      <c r="P219" s="77">
        <v>4</v>
      </c>
      <c r="Q219" s="77">
        <v>4</v>
      </c>
      <c r="R219" s="63">
        <f t="shared" si="18"/>
        <v>4.5999999999999996</v>
      </c>
      <c r="S219" s="64">
        <f t="shared" si="19"/>
        <v>0.91999999999999993</v>
      </c>
      <c r="T219" s="65" t="str">
        <f t="shared" si="20"/>
        <v>Grade-A</v>
      </c>
      <c r="U219" s="66">
        <f>IFERROR(VLOOKUP(F219,[3]Database!F:G,2,0),0)</f>
        <v>800</v>
      </c>
      <c r="V219" s="66"/>
      <c r="W219" s="84"/>
      <c r="X219" s="89"/>
      <c r="Y219" s="66"/>
      <c r="Z219" s="84"/>
      <c r="AA219" s="89"/>
      <c r="AB219" s="66"/>
      <c r="AC219" s="84"/>
      <c r="AD219" s="89"/>
      <c r="AE219" s="66">
        <v>1</v>
      </c>
      <c r="AF219" s="84">
        <f t="shared" si="22"/>
        <v>0.7421203669467662</v>
      </c>
      <c r="AG219" s="234">
        <f t="shared" si="23"/>
        <v>550</v>
      </c>
    </row>
    <row r="220" spans="1:33">
      <c r="A220" s="60">
        <f t="shared" si="21"/>
        <v>213</v>
      </c>
      <c r="B220" s="69">
        <v>28320</v>
      </c>
      <c r="C220" s="70" t="s">
        <v>710</v>
      </c>
      <c r="D220" s="70"/>
      <c r="E220" s="70"/>
      <c r="F220" s="83" t="s">
        <v>368</v>
      </c>
      <c r="G220" s="70"/>
      <c r="H220" s="70"/>
      <c r="I220" s="70" t="s">
        <v>360</v>
      </c>
      <c r="J220" s="77">
        <v>4</v>
      </c>
      <c r="K220" s="77">
        <v>4</v>
      </c>
      <c r="L220" s="77">
        <v>4</v>
      </c>
      <c r="M220" s="77">
        <v>4</v>
      </c>
      <c r="N220" s="77">
        <v>4</v>
      </c>
      <c r="O220" s="77">
        <v>4</v>
      </c>
      <c r="P220" s="77">
        <v>4</v>
      </c>
      <c r="Q220" s="77">
        <v>4</v>
      </c>
      <c r="R220" s="63">
        <f t="shared" si="18"/>
        <v>4</v>
      </c>
      <c r="S220" s="64">
        <f t="shared" si="19"/>
        <v>0.8</v>
      </c>
      <c r="T220" s="65" t="str">
        <f t="shared" si="20"/>
        <v>Grade-B</v>
      </c>
      <c r="U220" s="66">
        <f>IFERROR(VLOOKUP(F220,[3]Database!F:G,2,0),0)</f>
        <v>850</v>
      </c>
      <c r="V220" s="66"/>
      <c r="W220" s="84"/>
      <c r="X220" s="89"/>
      <c r="Y220" s="66"/>
      <c r="Z220" s="84"/>
      <c r="AA220" s="89"/>
      <c r="AB220" s="66"/>
      <c r="AC220" s="84"/>
      <c r="AD220" s="89"/>
      <c r="AE220" s="66">
        <v>1</v>
      </c>
      <c r="AF220" s="84">
        <f t="shared" si="22"/>
        <v>0.7421203669467662</v>
      </c>
      <c r="AG220" s="234">
        <f t="shared" si="23"/>
        <v>510</v>
      </c>
    </row>
    <row r="221" spans="1:33">
      <c r="A221" s="60">
        <f t="shared" si="21"/>
        <v>214</v>
      </c>
      <c r="B221" s="69">
        <v>28306</v>
      </c>
      <c r="C221" s="70" t="s">
        <v>711</v>
      </c>
      <c r="D221" s="70"/>
      <c r="E221" s="70"/>
      <c r="F221" s="83" t="s">
        <v>372</v>
      </c>
      <c r="G221" s="70"/>
      <c r="H221" s="70"/>
      <c r="I221" s="70" t="s">
        <v>360</v>
      </c>
      <c r="J221" s="77">
        <v>4</v>
      </c>
      <c r="K221" s="77">
        <v>5</v>
      </c>
      <c r="L221" s="77">
        <v>5</v>
      </c>
      <c r="M221" s="77">
        <v>5</v>
      </c>
      <c r="N221" s="77">
        <v>5</v>
      </c>
      <c r="O221" s="77">
        <v>4</v>
      </c>
      <c r="P221" s="77">
        <v>4</v>
      </c>
      <c r="Q221" s="77">
        <v>4</v>
      </c>
      <c r="R221" s="63">
        <f t="shared" si="18"/>
        <v>4.5000000000000009</v>
      </c>
      <c r="S221" s="64">
        <f t="shared" si="19"/>
        <v>0.9</v>
      </c>
      <c r="T221" s="65" t="str">
        <f t="shared" si="20"/>
        <v>Grade-A</v>
      </c>
      <c r="U221" s="66">
        <f>IFERROR(VLOOKUP(F221,[3]Database!F:G,2,0),0)</f>
        <v>800</v>
      </c>
      <c r="V221" s="66"/>
      <c r="W221" s="84"/>
      <c r="X221" s="89"/>
      <c r="Y221" s="66"/>
      <c r="Z221" s="84"/>
      <c r="AA221" s="89"/>
      <c r="AB221" s="66"/>
      <c r="AC221" s="84"/>
      <c r="AD221" s="89"/>
      <c r="AE221" s="66">
        <v>1</v>
      </c>
      <c r="AF221" s="84">
        <f t="shared" si="22"/>
        <v>0.7421203669467662</v>
      </c>
      <c r="AG221" s="234">
        <f t="shared" si="23"/>
        <v>540</v>
      </c>
    </row>
    <row r="222" spans="1:33">
      <c r="A222" s="60">
        <f t="shared" si="21"/>
        <v>215</v>
      </c>
      <c r="B222" s="69">
        <v>21220</v>
      </c>
      <c r="C222" s="70" t="s">
        <v>479</v>
      </c>
      <c r="D222" s="70"/>
      <c r="E222" s="70"/>
      <c r="F222" s="83" t="s">
        <v>376</v>
      </c>
      <c r="G222" s="70"/>
      <c r="H222" s="70"/>
      <c r="I222" s="70" t="s">
        <v>360</v>
      </c>
      <c r="J222" s="77">
        <v>5</v>
      </c>
      <c r="K222" s="77">
        <v>4</v>
      </c>
      <c r="L222" s="77">
        <v>5</v>
      </c>
      <c r="M222" s="77">
        <v>5</v>
      </c>
      <c r="N222" s="77">
        <v>5</v>
      </c>
      <c r="O222" s="77">
        <v>5</v>
      </c>
      <c r="P222" s="77">
        <v>5</v>
      </c>
      <c r="Q222" s="77">
        <v>4</v>
      </c>
      <c r="R222" s="63">
        <f t="shared" si="18"/>
        <v>4.75</v>
      </c>
      <c r="S222" s="64">
        <f t="shared" si="19"/>
        <v>0.95</v>
      </c>
      <c r="T222" s="65" t="str">
        <f t="shared" si="20"/>
        <v>Grade-A</v>
      </c>
      <c r="U222" s="66">
        <f>IFERROR(VLOOKUP(F222,[3]Database!F:G,2,0),0)</f>
        <v>700</v>
      </c>
      <c r="V222" s="66"/>
      <c r="W222" s="84"/>
      <c r="X222" s="89"/>
      <c r="Y222" s="66"/>
      <c r="Z222" s="84"/>
      <c r="AA222" s="89"/>
      <c r="AB222" s="66"/>
      <c r="AC222" s="84"/>
      <c r="AD222" s="89"/>
      <c r="AE222" s="66">
        <v>1</v>
      </c>
      <c r="AF222" s="84">
        <f t="shared" si="22"/>
        <v>0.7421203669467662</v>
      </c>
      <c r="AG222" s="234">
        <f t="shared" si="23"/>
        <v>500</v>
      </c>
    </row>
    <row r="223" spans="1:33">
      <c r="A223" s="60">
        <f t="shared" si="21"/>
        <v>216</v>
      </c>
      <c r="B223" s="69">
        <v>5214</v>
      </c>
      <c r="C223" s="70" t="s">
        <v>277</v>
      </c>
      <c r="D223" s="70"/>
      <c r="E223" s="70"/>
      <c r="F223" s="83" t="s">
        <v>372</v>
      </c>
      <c r="G223" s="70"/>
      <c r="H223" s="70"/>
      <c r="I223" s="70" t="s">
        <v>360</v>
      </c>
      <c r="J223" s="77">
        <v>5</v>
      </c>
      <c r="K223" s="77">
        <v>4</v>
      </c>
      <c r="L223" s="77">
        <v>5</v>
      </c>
      <c r="M223" s="77">
        <v>5</v>
      </c>
      <c r="N223" s="77">
        <v>5</v>
      </c>
      <c r="O223" s="77">
        <v>5</v>
      </c>
      <c r="P223" s="77">
        <v>5</v>
      </c>
      <c r="Q223" s="77">
        <v>4</v>
      </c>
      <c r="R223" s="63">
        <f t="shared" si="18"/>
        <v>4.75</v>
      </c>
      <c r="S223" s="64">
        <f t="shared" si="19"/>
        <v>0.95</v>
      </c>
      <c r="T223" s="65" t="str">
        <f t="shared" si="20"/>
        <v>Grade-A</v>
      </c>
      <c r="U223" s="66">
        <f>IFERROR(VLOOKUP(F223,[3]Database!F:G,2,0),0)</f>
        <v>800</v>
      </c>
      <c r="V223" s="66"/>
      <c r="W223" s="84"/>
      <c r="X223" s="89"/>
      <c r="Y223" s="66"/>
      <c r="Z223" s="84"/>
      <c r="AA223" s="89"/>
      <c r="AB223" s="66"/>
      <c r="AC223" s="84"/>
      <c r="AD223" s="89"/>
      <c r="AE223" s="66">
        <v>1</v>
      </c>
      <c r="AF223" s="84">
        <f t="shared" si="22"/>
        <v>0.7421203669467662</v>
      </c>
      <c r="AG223" s="234">
        <f t="shared" si="23"/>
        <v>570</v>
      </c>
    </row>
    <row r="224" spans="1:33">
      <c r="A224" s="68">
        <f t="shared" si="21"/>
        <v>217</v>
      </c>
      <c r="B224" s="69">
        <v>7774</v>
      </c>
      <c r="C224" s="70" t="s">
        <v>279</v>
      </c>
      <c r="D224" s="70"/>
      <c r="E224" s="70"/>
      <c r="F224" s="83" t="s">
        <v>368</v>
      </c>
      <c r="G224" s="70"/>
      <c r="H224" s="70"/>
      <c r="I224" s="70" t="s">
        <v>360</v>
      </c>
      <c r="J224" s="77">
        <v>5</v>
      </c>
      <c r="K224" s="77">
        <v>4</v>
      </c>
      <c r="L224" s="77">
        <v>4</v>
      </c>
      <c r="M224" s="77">
        <v>5</v>
      </c>
      <c r="N224" s="77">
        <v>5</v>
      </c>
      <c r="O224" s="77">
        <v>4</v>
      </c>
      <c r="P224" s="77">
        <v>4</v>
      </c>
      <c r="Q224" s="77">
        <v>4</v>
      </c>
      <c r="R224" s="63">
        <f t="shared" si="18"/>
        <v>4.5</v>
      </c>
      <c r="S224" s="64">
        <f t="shared" si="19"/>
        <v>0.89999999999999991</v>
      </c>
      <c r="T224" s="65" t="str">
        <f t="shared" si="20"/>
        <v>Grade-A</v>
      </c>
      <c r="U224" s="66">
        <f>IFERROR(VLOOKUP(F224,[3]Database!F:G,2,0),0)</f>
        <v>850</v>
      </c>
      <c r="V224" s="66"/>
      <c r="W224" s="84"/>
      <c r="X224" s="89"/>
      <c r="Y224" s="66"/>
      <c r="Z224" s="84"/>
      <c r="AA224" s="89"/>
      <c r="AB224" s="66"/>
      <c r="AC224" s="84"/>
      <c r="AD224" s="89"/>
      <c r="AE224" s="66">
        <v>1</v>
      </c>
      <c r="AF224" s="84">
        <f t="shared" si="22"/>
        <v>0.7421203669467662</v>
      </c>
      <c r="AG224" s="234">
        <f t="shared" si="23"/>
        <v>570</v>
      </c>
    </row>
    <row r="225" spans="1:33">
      <c r="A225" s="60">
        <f t="shared" si="21"/>
        <v>218</v>
      </c>
      <c r="B225" s="96">
        <v>22177</v>
      </c>
      <c r="C225" s="97" t="s">
        <v>714</v>
      </c>
      <c r="D225" s="97"/>
      <c r="E225" s="97"/>
      <c r="F225" s="37" t="s">
        <v>382</v>
      </c>
      <c r="G225" s="97"/>
      <c r="H225" s="97"/>
      <c r="I225" s="97" t="s">
        <v>715</v>
      </c>
      <c r="J225" s="98">
        <v>2</v>
      </c>
      <c r="K225" s="98">
        <v>3</v>
      </c>
      <c r="L225" s="98">
        <v>3</v>
      </c>
      <c r="M225" s="98">
        <v>3</v>
      </c>
      <c r="N225" s="98">
        <v>3</v>
      </c>
      <c r="O225" s="98">
        <v>3</v>
      </c>
      <c r="P225" s="98">
        <v>3</v>
      </c>
      <c r="Q225" s="98">
        <v>3</v>
      </c>
      <c r="R225" s="99">
        <f t="shared" si="18"/>
        <v>2.7</v>
      </c>
      <c r="S225" s="100">
        <f t="shared" si="19"/>
        <v>0.54</v>
      </c>
      <c r="T225" s="101" t="str">
        <f t="shared" si="20"/>
        <v>Grade-C</v>
      </c>
      <c r="U225" s="102">
        <f>IFERROR(VLOOKUP(F225,[3]Database!F:G,2,0),0)</f>
        <v>700</v>
      </c>
      <c r="V225" s="102"/>
      <c r="W225" s="103"/>
      <c r="X225" s="104"/>
      <c r="Y225" s="102"/>
      <c r="Z225" s="103"/>
      <c r="AA225" s="104"/>
      <c r="AB225" s="102"/>
      <c r="AC225" s="103"/>
      <c r="AD225" s="104"/>
      <c r="AE225" s="102">
        <v>1</v>
      </c>
      <c r="AF225" s="103">
        <f t="shared" si="22"/>
        <v>0.7421203669467662</v>
      </c>
      <c r="AG225" s="238">
        <f t="shared" si="23"/>
        <v>290</v>
      </c>
    </row>
    <row r="226" spans="1:33">
      <c r="A226" s="60">
        <f t="shared" si="21"/>
        <v>219</v>
      </c>
      <c r="B226" s="69">
        <v>28353</v>
      </c>
      <c r="C226" s="70" t="s">
        <v>720</v>
      </c>
      <c r="D226" s="70"/>
      <c r="E226" s="70"/>
      <c r="F226" s="83" t="s">
        <v>368</v>
      </c>
      <c r="G226" s="70"/>
      <c r="H226" s="70"/>
      <c r="I226" s="70" t="s">
        <v>360</v>
      </c>
      <c r="J226" s="77">
        <v>5</v>
      </c>
      <c r="K226" s="77">
        <v>5</v>
      </c>
      <c r="L226" s="77">
        <v>5</v>
      </c>
      <c r="M226" s="77">
        <v>4</v>
      </c>
      <c r="N226" s="77">
        <v>4</v>
      </c>
      <c r="O226" s="77">
        <v>3</v>
      </c>
      <c r="P226" s="77">
        <v>4</v>
      </c>
      <c r="Q226" s="77">
        <v>4</v>
      </c>
      <c r="R226" s="63">
        <f t="shared" si="18"/>
        <v>4.5</v>
      </c>
      <c r="S226" s="64">
        <f t="shared" si="19"/>
        <v>0.89999999999999991</v>
      </c>
      <c r="T226" s="65" t="str">
        <f t="shared" si="20"/>
        <v>Grade-A</v>
      </c>
      <c r="U226" s="66">
        <f>IFERROR(VLOOKUP(F226,[3]Database!F:G,2,0),0)</f>
        <v>850</v>
      </c>
      <c r="V226" s="66"/>
      <c r="W226" s="84"/>
      <c r="X226" s="89"/>
      <c r="Y226" s="66"/>
      <c r="Z226" s="84"/>
      <c r="AA226" s="89"/>
      <c r="AB226" s="66"/>
      <c r="AC226" s="84"/>
      <c r="AD226" s="89"/>
      <c r="AE226" s="66">
        <v>1</v>
      </c>
      <c r="AF226" s="84">
        <f t="shared" si="22"/>
        <v>0.7421203669467662</v>
      </c>
      <c r="AG226" s="234">
        <f t="shared" si="23"/>
        <v>570</v>
      </c>
    </row>
    <row r="227" spans="1:33">
      <c r="A227" s="60">
        <f t="shared" si="21"/>
        <v>220</v>
      </c>
      <c r="B227" s="69">
        <v>28352</v>
      </c>
      <c r="C227" s="70" t="s">
        <v>719</v>
      </c>
      <c r="D227" s="70"/>
      <c r="E227" s="70"/>
      <c r="F227" s="83" t="s">
        <v>370</v>
      </c>
      <c r="G227" s="70"/>
      <c r="H227" s="70"/>
      <c r="I227" s="70" t="s">
        <v>360</v>
      </c>
      <c r="J227" s="77">
        <v>5</v>
      </c>
      <c r="K227" s="77">
        <v>5</v>
      </c>
      <c r="L227" s="77">
        <v>5</v>
      </c>
      <c r="M227" s="77">
        <v>4</v>
      </c>
      <c r="N227" s="77">
        <v>3</v>
      </c>
      <c r="O227" s="77">
        <v>4</v>
      </c>
      <c r="P227" s="77">
        <v>4</v>
      </c>
      <c r="Q227" s="77">
        <v>4</v>
      </c>
      <c r="R227" s="63">
        <f t="shared" si="18"/>
        <v>4.5000000000000009</v>
      </c>
      <c r="S227" s="64">
        <f t="shared" si="19"/>
        <v>0.9</v>
      </c>
      <c r="T227" s="65" t="str">
        <f t="shared" si="20"/>
        <v>Grade-A</v>
      </c>
      <c r="U227" s="66">
        <f>IFERROR(VLOOKUP(F227,[3]Database!F:G,2,0),0)</f>
        <v>600</v>
      </c>
      <c r="V227" s="66"/>
      <c r="W227" s="84"/>
      <c r="X227" s="89"/>
      <c r="Y227" s="66"/>
      <c r="Z227" s="84"/>
      <c r="AA227" s="89"/>
      <c r="AB227" s="66"/>
      <c r="AC227" s="84"/>
      <c r="AD227" s="89"/>
      <c r="AE227" s="66">
        <v>1</v>
      </c>
      <c r="AF227" s="84">
        <f t="shared" si="22"/>
        <v>0.7421203669467662</v>
      </c>
      <c r="AG227" s="234">
        <f>CEILING(S227*U227*AE227*AF227,10)</f>
        <v>410</v>
      </c>
    </row>
    <row r="228" spans="1:33">
      <c r="A228" s="60">
        <f t="shared" si="21"/>
        <v>221</v>
      </c>
      <c r="B228" s="69">
        <v>28479</v>
      </c>
      <c r="C228" s="70" t="s">
        <v>718</v>
      </c>
      <c r="D228" s="70"/>
      <c r="E228" s="70"/>
      <c r="F228" s="83" t="s">
        <v>396</v>
      </c>
      <c r="G228" s="70"/>
      <c r="H228" s="70"/>
      <c r="I228" s="70" t="s">
        <v>360</v>
      </c>
      <c r="J228" s="77">
        <v>5</v>
      </c>
      <c r="K228" s="77">
        <v>5</v>
      </c>
      <c r="L228" s="77">
        <v>5</v>
      </c>
      <c r="M228" s="77">
        <v>5</v>
      </c>
      <c r="N228" s="77">
        <v>5</v>
      </c>
      <c r="O228" s="77">
        <v>4</v>
      </c>
      <c r="P228" s="77">
        <v>5</v>
      </c>
      <c r="Q228" s="77">
        <v>4</v>
      </c>
      <c r="R228" s="63">
        <f t="shared" si="18"/>
        <v>4.8500000000000005</v>
      </c>
      <c r="S228" s="64">
        <f t="shared" si="19"/>
        <v>0.97</v>
      </c>
      <c r="T228" s="65" t="str">
        <f t="shared" si="20"/>
        <v>Grade-A</v>
      </c>
      <c r="U228" s="66">
        <f>IFERROR(VLOOKUP(F228,[3]Database!F:G,2,0),0)</f>
        <v>2000</v>
      </c>
      <c r="V228" s="66"/>
      <c r="W228" s="84"/>
      <c r="X228" s="89"/>
      <c r="Y228" s="66"/>
      <c r="Z228" s="84"/>
      <c r="AA228" s="89"/>
      <c r="AB228" s="66"/>
      <c r="AC228" s="84"/>
      <c r="AD228" s="89"/>
      <c r="AE228" s="66">
        <v>1</v>
      </c>
      <c r="AF228" s="84">
        <f t="shared" si="22"/>
        <v>0.7421203669467662</v>
      </c>
      <c r="AG228" s="234">
        <f t="shared" si="23"/>
        <v>1440</v>
      </c>
    </row>
    <row r="229" spans="1:33">
      <c r="A229" s="60">
        <f t="shared" si="21"/>
        <v>222</v>
      </c>
      <c r="B229" s="61">
        <v>28689</v>
      </c>
      <c r="C229" s="62" t="s">
        <v>738</v>
      </c>
      <c r="D229" s="272"/>
      <c r="E229" s="272"/>
      <c r="F229" s="36" t="s">
        <v>400</v>
      </c>
      <c r="G229" s="272"/>
      <c r="H229" s="272"/>
      <c r="I229" s="70" t="s">
        <v>360</v>
      </c>
      <c r="J229" s="71">
        <v>5</v>
      </c>
      <c r="K229" s="71">
        <v>5</v>
      </c>
      <c r="L229" s="71">
        <v>5</v>
      </c>
      <c r="M229" s="71">
        <v>4</v>
      </c>
      <c r="N229" s="71">
        <v>2</v>
      </c>
      <c r="O229" s="71">
        <v>4</v>
      </c>
      <c r="P229" s="71">
        <v>4</v>
      </c>
      <c r="Q229" s="71">
        <v>2</v>
      </c>
      <c r="R229" s="63">
        <f t="shared" si="18"/>
        <v>4.3</v>
      </c>
      <c r="S229" s="64">
        <f>IF(B229&lt;&gt;"", (($I$4/5)*J229) + (($J$4/5)*K229) + (($K$4/5)*L229) + (($L$4/5)*M229) + (($M$4/5)*N229) + (($N$4/5)*O229) + (($O$4/5)*P229) + (($P$4/5)*Q229), "")</f>
        <v>0.86</v>
      </c>
      <c r="T229" s="65" t="str">
        <f t="shared" si="20"/>
        <v>Grade-B</v>
      </c>
      <c r="U229" s="66">
        <f>IFERROR(VLOOKUP(F229,[3]Database!F:G,2,0),0)</f>
        <v>800</v>
      </c>
      <c r="V229" s="66"/>
      <c r="W229" s="84"/>
      <c r="X229" s="87"/>
      <c r="Y229" s="66"/>
      <c r="Z229" s="84"/>
      <c r="AA229" s="87"/>
      <c r="AB229" s="66"/>
      <c r="AC229" s="84"/>
      <c r="AD229" s="87"/>
      <c r="AE229" s="66">
        <v>1</v>
      </c>
      <c r="AF229" s="84">
        <f t="shared" si="22"/>
        <v>0.7421203669467662</v>
      </c>
      <c r="AG229" s="235">
        <f t="shared" si="23"/>
        <v>520</v>
      </c>
    </row>
    <row r="230" spans="1:33">
      <c r="A230" s="60">
        <v>223</v>
      </c>
      <c r="B230" s="61">
        <v>27246</v>
      </c>
      <c r="C230" s="62" t="s">
        <v>640</v>
      </c>
      <c r="D230" s="272"/>
      <c r="E230" s="272"/>
      <c r="F230" s="36" t="s">
        <v>401</v>
      </c>
      <c r="G230" s="272"/>
      <c r="H230" s="272"/>
      <c r="I230" s="70" t="s">
        <v>360</v>
      </c>
      <c r="J230" s="77">
        <v>4</v>
      </c>
      <c r="K230" s="77">
        <v>3</v>
      </c>
      <c r="L230" s="77">
        <v>4</v>
      </c>
      <c r="M230" s="77">
        <v>4</v>
      </c>
      <c r="N230" s="77">
        <v>4</v>
      </c>
      <c r="O230" s="77">
        <v>3</v>
      </c>
      <c r="P230" s="77">
        <v>4</v>
      </c>
      <c r="Q230" s="77">
        <v>4</v>
      </c>
      <c r="R230" s="63">
        <f t="shared" si="18"/>
        <v>3.7</v>
      </c>
      <c r="S230" s="64">
        <f>IF(B230&lt;&gt;"", (($I$4/5)*J230) + (($J$4/5)*K230) + (($K$4/5)*L230) + (($L$4/5)*M230) + (($M$4/5)*N230) + (($N$4/5)*O230) + (($O$4/5)*P230) + (($P$4/5)*Q230), "")</f>
        <v>0.74</v>
      </c>
      <c r="T230" s="65" t="str">
        <f t="shared" si="20"/>
        <v>Grade-B</v>
      </c>
      <c r="U230" s="66">
        <f>IFERROR(VLOOKUP(F230,[3]Database!F:G,2,0),0)</f>
        <v>1100</v>
      </c>
      <c r="V230" s="66"/>
      <c r="W230" s="84"/>
      <c r="X230" s="87"/>
      <c r="Y230" s="66"/>
      <c r="Z230" s="84"/>
      <c r="AA230" s="87"/>
      <c r="AB230" s="66"/>
      <c r="AC230" s="84"/>
      <c r="AD230" s="87"/>
      <c r="AE230" s="66">
        <v>1</v>
      </c>
      <c r="AF230" s="84">
        <f t="shared" si="22"/>
        <v>0.7421203669467662</v>
      </c>
      <c r="AG230" s="235">
        <f t="shared" si="23"/>
        <v>610</v>
      </c>
    </row>
    <row r="231" spans="1:33">
      <c r="A231" s="60">
        <v>224</v>
      </c>
      <c r="B231" s="61">
        <v>29082</v>
      </c>
      <c r="C231" s="62" t="s">
        <v>747</v>
      </c>
      <c r="D231" s="272"/>
      <c r="E231" s="272"/>
      <c r="F231" s="83" t="s">
        <v>371</v>
      </c>
      <c r="G231" s="272"/>
      <c r="H231" s="272"/>
      <c r="I231" s="70" t="s">
        <v>748</v>
      </c>
      <c r="J231" s="71">
        <v>5</v>
      </c>
      <c r="K231" s="71">
        <v>5</v>
      </c>
      <c r="L231" s="71">
        <v>5</v>
      </c>
      <c r="M231" s="71">
        <v>4</v>
      </c>
      <c r="N231" s="71">
        <v>2</v>
      </c>
      <c r="O231" s="71">
        <v>4</v>
      </c>
      <c r="P231" s="71">
        <v>4</v>
      </c>
      <c r="Q231" s="71">
        <v>2</v>
      </c>
      <c r="R231" s="63">
        <f t="shared" si="18"/>
        <v>4.3</v>
      </c>
      <c r="S231" s="64">
        <f>IF(B231&lt;&gt;"", (($I$4/5)*J231) + (($J$4/5)*K231) + (($K$4/5)*L231) + (($L$4/5)*M231) + (($M$4/5)*N231) + (($N$4/5)*O231) + (($O$4/5)*P231) + (($P$4/5)*Q231), "")</f>
        <v>0.86</v>
      </c>
      <c r="T231" s="65" t="str">
        <f t="shared" si="20"/>
        <v>Grade-B</v>
      </c>
      <c r="U231" s="66">
        <f>IFERROR(VLOOKUP(F231,[3]Database!F:G,2,0),0)</f>
        <v>800</v>
      </c>
      <c r="V231" s="66"/>
      <c r="W231" s="84"/>
      <c r="X231" s="87"/>
      <c r="Y231" s="66"/>
      <c r="Z231" s="84"/>
      <c r="AA231" s="87"/>
      <c r="AB231" s="66"/>
      <c r="AC231" s="84"/>
      <c r="AD231" s="87"/>
      <c r="AE231" s="66">
        <v>1</v>
      </c>
      <c r="AF231" s="84">
        <f t="shared" si="22"/>
        <v>0.7421203669467662</v>
      </c>
      <c r="AG231" s="235">
        <f t="shared" ref="AG231" si="24">CEILING(S231*U231*AE231*AF231,10)</f>
        <v>520</v>
      </c>
    </row>
    <row r="232" spans="1:33">
      <c r="A232" s="60">
        <v>225</v>
      </c>
      <c r="B232" s="69">
        <v>16032</v>
      </c>
      <c r="C232" s="70" t="s">
        <v>698</v>
      </c>
      <c r="D232" s="70" t="s">
        <v>304</v>
      </c>
      <c r="E232" s="70" t="s">
        <v>304</v>
      </c>
      <c r="F232" s="83" t="s">
        <v>382</v>
      </c>
      <c r="G232" s="70" t="s">
        <v>371</v>
      </c>
      <c r="H232" s="70"/>
      <c r="I232" s="70" t="s">
        <v>360</v>
      </c>
      <c r="J232" s="77">
        <v>5</v>
      </c>
      <c r="K232" s="77">
        <v>5</v>
      </c>
      <c r="L232" s="77">
        <v>4</v>
      </c>
      <c r="M232" s="77">
        <v>4</v>
      </c>
      <c r="N232" s="77">
        <v>4</v>
      </c>
      <c r="O232" s="77">
        <v>4</v>
      </c>
      <c r="P232" s="77">
        <v>4</v>
      </c>
      <c r="Q232" s="77">
        <v>4</v>
      </c>
      <c r="R232" s="63">
        <f t="shared" si="18"/>
        <v>4.5</v>
      </c>
      <c r="S232" s="64">
        <f t="shared" si="19"/>
        <v>0.89999999999999991</v>
      </c>
      <c r="T232" s="65" t="str">
        <f t="shared" si="20"/>
        <v>Grade-A</v>
      </c>
      <c r="U232" s="66">
        <f>IFERROR(VLOOKUP(F232,[3]Database!F:G,2,0),0)</f>
        <v>700</v>
      </c>
      <c r="V232" s="66">
        <v>1</v>
      </c>
      <c r="W232" s="84">
        <v>0.89694399005601633</v>
      </c>
      <c r="X232" s="89">
        <v>570</v>
      </c>
      <c r="Y232" s="66">
        <v>0.94</v>
      </c>
      <c r="Z232" s="84">
        <v>0.89694399005601633</v>
      </c>
      <c r="AA232" s="89">
        <v>540</v>
      </c>
      <c r="AB232" s="66">
        <v>0.84</v>
      </c>
      <c r="AC232" s="84">
        <v>0.89694399005601633</v>
      </c>
      <c r="AD232" s="89">
        <v>480</v>
      </c>
      <c r="AE232" s="66">
        <v>1</v>
      </c>
      <c r="AF232" s="84">
        <f t="shared" si="22"/>
        <v>0.7421203669467662</v>
      </c>
      <c r="AG232" s="234">
        <f t="shared" si="23"/>
        <v>470</v>
      </c>
    </row>
    <row r="233" spans="1:33">
      <c r="U233" s="252">
        <f>SUM(U8:U232)</f>
        <v>194650</v>
      </c>
      <c r="V233" s="211"/>
      <c r="W233" s="211"/>
      <c r="X233" s="211"/>
      <c r="Y233" s="211"/>
      <c r="Z233" s="211"/>
      <c r="AA233" s="211"/>
      <c r="AB233" s="211"/>
      <c r="AC233" s="211"/>
      <c r="AD233" s="211"/>
      <c r="AE233" s="211"/>
      <c r="AF233" s="211"/>
      <c r="AG233" s="349">
        <f>SUM(AG8:AG232)</f>
        <v>126170</v>
      </c>
    </row>
  </sheetData>
  <autoFilter ref="A7:U232"/>
  <mergeCells count="4">
    <mergeCell ref="A1:S1"/>
    <mergeCell ref="C2:G2"/>
    <mergeCell ref="C3:G3"/>
    <mergeCell ref="C4:G4"/>
  </mergeCells>
  <phoneticPr fontId="3" type="noConversion"/>
  <dataValidations count="5">
    <dataValidation allowBlank="1" showInputMessage="1" showErrorMessage="1" prompt="Represents the highest level of performance. Outstanding and exceptional achievements." sqref="J6"/>
    <dataValidation allowBlank="1" showInputMessage="1" showErrorMessage="1" prompt="Strong performance with positive results. Shows commitment and excellence." sqref="K6"/>
    <dataValidation allowBlank="1" showInputMessage="1" showErrorMessage="1" prompt="Acceptable performance with satisfactory results. Some aspects can be improved." sqref="L6"/>
    <dataValidation allowBlank="1" showInputMessage="1" showErrorMessage="1" prompt="Performance below expectations. Needs development and significant improvements." sqref="M6"/>
    <dataValidation allowBlank="1" showInputMessage="1" showErrorMessage="1" prompt="The lowest level of performance. Requires drastic changes for improvement." sqref="N6"/>
  </dataValidations>
  <pageMargins left="0.7" right="0.7" top="0.75" bottom="0.75" header="0.3" footer="0.3"/>
  <pageSetup paperSize="9" scale="7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F19"/>
  <sheetViews>
    <sheetView zoomScale="70" zoomScaleNormal="70" workbookViewId="0">
      <pane xSplit="3" ySplit="7" topLeftCell="K8" activePane="bottomRight" state="frozen"/>
      <selection pane="topRight" activeCell="D1" sqref="D1"/>
      <selection pane="bottomLeft" activeCell="A8" sqref="A8"/>
      <selection pane="bottomRight" activeCell="M38" sqref="M38"/>
    </sheetView>
  </sheetViews>
  <sheetFormatPr defaultColWidth="8.875" defaultRowHeight="13.5"/>
  <cols>
    <col min="1" max="2" width="7.6875" style="42" customWidth="1"/>
    <col min="3" max="3" width="23.875" style="42" customWidth="1"/>
    <col min="4" max="4" width="19.125" style="42" customWidth="1"/>
    <col min="5" max="5" width="16" style="81" hidden="1" customWidth="1"/>
    <col min="6" max="6" width="16" style="81" customWidth="1"/>
    <col min="7" max="7" width="21.3125" style="81" hidden="1" customWidth="1"/>
    <col min="8" max="8" width="30.3125" style="81" customWidth="1"/>
    <col min="9" max="9" width="9.3125" style="82" customWidth="1"/>
    <col min="10" max="10" width="10.3125" style="82" customWidth="1"/>
    <col min="11" max="13" width="8.6875" style="82" customWidth="1"/>
    <col min="14" max="14" width="7.6875" style="82" customWidth="1"/>
    <col min="15" max="16" width="8.6875" style="82" customWidth="1"/>
    <col min="17" max="17" width="6.6875" style="42" customWidth="1"/>
    <col min="18" max="18" width="8.125" style="42" bestFit="1" customWidth="1"/>
    <col min="19" max="20" width="9" style="42" customWidth="1"/>
    <col min="21" max="21" width="9" style="42" hidden="1" customWidth="1"/>
    <col min="22" max="22" width="9.875" style="42" hidden="1" customWidth="1"/>
    <col min="23" max="23" width="16.3125" style="42" hidden="1" customWidth="1"/>
    <col min="24" max="24" width="9" style="42" hidden="1" customWidth="1"/>
    <col min="25" max="25" width="9.875" style="42" hidden="1" customWidth="1"/>
    <col min="26" max="26" width="16.3125" style="42" hidden="1" customWidth="1"/>
    <col min="27" max="27" width="9" style="42" hidden="1" customWidth="1"/>
    <col min="28" max="28" width="9.875" style="42" hidden="1" customWidth="1"/>
    <col min="29" max="29" width="16.3125" style="42" hidden="1" customWidth="1"/>
    <col min="30" max="30" width="9" style="42" bestFit="1" customWidth="1"/>
    <col min="31" max="31" width="9.875" style="42" bestFit="1" customWidth="1"/>
    <col min="32" max="32" width="16.3125" style="42" customWidth="1"/>
    <col min="33" max="16384" width="8.875" style="42"/>
  </cols>
  <sheetData>
    <row r="1" spans="1:32" ht="20.25">
      <c r="A1" s="391" t="s">
        <v>0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40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</row>
    <row r="2" spans="1:32" ht="20.25">
      <c r="A2" s="43" t="s">
        <v>1</v>
      </c>
      <c r="B2" s="44"/>
      <c r="C2" s="392" t="s">
        <v>716</v>
      </c>
      <c r="D2" s="392"/>
      <c r="E2" s="392"/>
      <c r="F2" s="392"/>
      <c r="G2" s="392"/>
      <c r="H2" s="392"/>
      <c r="I2" s="392"/>
      <c r="J2" s="45"/>
      <c r="K2" s="46"/>
      <c r="L2" s="47"/>
      <c r="M2" s="47"/>
      <c r="N2" s="47"/>
      <c r="O2" s="40" t="s">
        <v>189</v>
      </c>
      <c r="P2" s="40">
        <f>COUNTA(C8:C1048576)</f>
        <v>5</v>
      </c>
      <c r="Q2" s="8"/>
      <c r="R2" s="8"/>
      <c r="S2" s="8"/>
      <c r="T2" s="8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</row>
    <row r="3" spans="1:32" ht="15.6" customHeight="1">
      <c r="A3" s="43" t="s">
        <v>4</v>
      </c>
      <c r="B3" s="48"/>
      <c r="C3" s="393" t="s">
        <v>744</v>
      </c>
      <c r="D3" s="393"/>
      <c r="E3" s="393"/>
      <c r="F3" s="393"/>
      <c r="G3" s="393"/>
      <c r="H3" s="393"/>
      <c r="I3" s="393"/>
      <c r="J3" s="50" t="s">
        <v>21</v>
      </c>
      <c r="K3" s="50" t="s">
        <v>22</v>
      </c>
      <c r="L3" s="50" t="s">
        <v>23</v>
      </c>
      <c r="M3" s="50" t="s">
        <v>24</v>
      </c>
      <c r="N3" s="50" t="s">
        <v>25</v>
      </c>
      <c r="O3" s="50" t="s">
        <v>26</v>
      </c>
      <c r="P3" s="50" t="s">
        <v>27</v>
      </c>
      <c r="Q3" s="50" t="s">
        <v>28</v>
      </c>
      <c r="R3" s="8"/>
      <c r="S3" s="8"/>
      <c r="T3" s="8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</row>
    <row r="4" spans="1:32" ht="15.6" customHeight="1">
      <c r="A4" s="43" t="s">
        <v>5</v>
      </c>
      <c r="B4" s="48"/>
      <c r="C4" s="393">
        <v>28478</v>
      </c>
      <c r="D4" s="393"/>
      <c r="E4" s="393"/>
      <c r="F4" s="393"/>
      <c r="G4" s="393"/>
      <c r="H4" s="393"/>
      <c r="I4" s="393"/>
      <c r="J4" s="129">
        <v>0.3</v>
      </c>
      <c r="K4" s="129">
        <v>0.2</v>
      </c>
      <c r="L4" s="129">
        <v>0.1</v>
      </c>
      <c r="M4" s="129">
        <v>0.1</v>
      </c>
      <c r="N4" s="129">
        <v>0.1</v>
      </c>
      <c r="O4" s="129">
        <v>0.1</v>
      </c>
      <c r="P4" s="129">
        <v>0.05</v>
      </c>
      <c r="Q4" s="129">
        <v>0.05</v>
      </c>
      <c r="R4" s="8"/>
      <c r="S4" s="8"/>
      <c r="T4" s="8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</row>
    <row r="5" spans="1:32" ht="15">
      <c r="A5" s="8"/>
      <c r="B5" s="8"/>
      <c r="C5" s="8"/>
      <c r="D5" s="8"/>
      <c r="E5" s="8"/>
      <c r="F5" s="8"/>
      <c r="G5" s="8"/>
      <c r="H5" s="8" t="s">
        <v>675</v>
      </c>
      <c r="I5" s="52" t="s">
        <v>6</v>
      </c>
      <c r="J5" s="53" t="s">
        <v>7</v>
      </c>
      <c r="K5" s="54" t="s">
        <v>8</v>
      </c>
      <c r="L5" s="55" t="s">
        <v>9</v>
      </c>
      <c r="M5" s="56" t="s">
        <v>10</v>
      </c>
      <c r="N5" s="8"/>
      <c r="O5" s="8"/>
      <c r="P5" s="8"/>
      <c r="Q5" s="8"/>
      <c r="R5" s="8"/>
      <c r="S5" s="8"/>
      <c r="T5" s="8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</row>
    <row r="6" spans="1:32" ht="18.600000000000001" customHeight="1">
      <c r="A6" s="8"/>
      <c r="B6" s="8"/>
      <c r="C6" s="8"/>
      <c r="D6" s="8"/>
      <c r="E6" s="8"/>
      <c r="F6" s="8"/>
      <c r="G6" s="8"/>
      <c r="H6" s="8"/>
      <c r="I6" s="52" t="s">
        <v>11</v>
      </c>
      <c r="J6" s="53" t="s">
        <v>12</v>
      </c>
      <c r="K6" s="54" t="s">
        <v>13</v>
      </c>
      <c r="L6" s="55" t="s">
        <v>14</v>
      </c>
      <c r="M6" s="56" t="s">
        <v>15</v>
      </c>
      <c r="N6" s="8"/>
      <c r="O6" s="8"/>
      <c r="P6" s="8"/>
      <c r="Q6" s="8"/>
      <c r="R6" s="8"/>
      <c r="S6" s="8"/>
      <c r="T6" s="8"/>
      <c r="U6" s="41"/>
      <c r="V6" s="110">
        <v>5000000</v>
      </c>
      <c r="W6" s="110">
        <f>Management!W6</f>
        <v>4824728</v>
      </c>
      <c r="X6" s="41"/>
      <c r="Y6" s="110">
        <v>5000000</v>
      </c>
      <c r="Z6" s="110">
        <f>Management!Z6</f>
        <v>4824728</v>
      </c>
      <c r="AA6" s="41"/>
      <c r="AB6" s="110">
        <v>5000000</v>
      </c>
      <c r="AC6" s="110">
        <f>Management!AC6</f>
        <v>4824728</v>
      </c>
      <c r="AD6" s="41"/>
      <c r="AE6" s="110">
        <f>Management!AE6</f>
        <v>5300000</v>
      </c>
      <c r="AF6" s="110">
        <f>Management!AF6</f>
        <v>3825593.96</v>
      </c>
    </row>
    <row r="7" spans="1:32" s="180" customFormat="1" ht="99.95" customHeight="1">
      <c r="A7" s="177" t="s">
        <v>16</v>
      </c>
      <c r="B7" s="177" t="s">
        <v>17</v>
      </c>
      <c r="C7" s="177" t="s">
        <v>18</v>
      </c>
      <c r="D7" s="177" t="s">
        <v>19</v>
      </c>
      <c r="E7" s="177" t="s">
        <v>20</v>
      </c>
      <c r="F7" s="178" t="s">
        <v>425</v>
      </c>
      <c r="G7" s="177" t="s">
        <v>363</v>
      </c>
      <c r="H7" s="177" t="s">
        <v>359</v>
      </c>
      <c r="I7" s="177" t="s">
        <v>21</v>
      </c>
      <c r="J7" s="177" t="s">
        <v>22</v>
      </c>
      <c r="K7" s="177" t="s">
        <v>23</v>
      </c>
      <c r="L7" s="177" t="s">
        <v>24</v>
      </c>
      <c r="M7" s="177" t="s">
        <v>25</v>
      </c>
      <c r="N7" s="177" t="s">
        <v>26</v>
      </c>
      <c r="O7" s="177" t="s">
        <v>27</v>
      </c>
      <c r="P7" s="177" t="s">
        <v>28</v>
      </c>
      <c r="Q7" s="177" t="s">
        <v>29</v>
      </c>
      <c r="R7" s="177" t="s">
        <v>432</v>
      </c>
      <c r="S7" s="177" t="s">
        <v>31</v>
      </c>
      <c r="T7" s="178" t="s">
        <v>364</v>
      </c>
      <c r="U7" s="177" t="s">
        <v>622</v>
      </c>
      <c r="V7" s="177" t="s">
        <v>420</v>
      </c>
      <c r="W7" s="177" t="s">
        <v>655</v>
      </c>
      <c r="X7" s="177" t="s">
        <v>622</v>
      </c>
      <c r="Y7" s="177" t="s">
        <v>420</v>
      </c>
      <c r="Z7" s="177" t="s">
        <v>674</v>
      </c>
      <c r="AA7" s="177" t="s">
        <v>622</v>
      </c>
      <c r="AB7" s="177" t="s">
        <v>420</v>
      </c>
      <c r="AC7" s="177" t="s">
        <v>681</v>
      </c>
      <c r="AD7" s="177" t="s">
        <v>622</v>
      </c>
      <c r="AE7" s="177" t="s">
        <v>420</v>
      </c>
      <c r="AF7" s="177" t="s">
        <v>755</v>
      </c>
    </row>
    <row r="8" spans="1:32">
      <c r="A8" s="60">
        <v>1</v>
      </c>
      <c r="B8" s="61">
        <v>17509</v>
      </c>
      <c r="C8" s="62" t="s">
        <v>539</v>
      </c>
      <c r="D8" s="62" t="s">
        <v>170</v>
      </c>
      <c r="E8" s="62" t="s">
        <v>170</v>
      </c>
      <c r="F8" s="36" t="s">
        <v>435</v>
      </c>
      <c r="G8" s="62"/>
      <c r="H8" s="62" t="s">
        <v>360</v>
      </c>
      <c r="I8" s="77">
        <v>4.8</v>
      </c>
      <c r="J8" s="77">
        <v>4.8</v>
      </c>
      <c r="K8" s="77">
        <v>5</v>
      </c>
      <c r="L8" s="77">
        <v>4.8</v>
      </c>
      <c r="M8" s="77">
        <v>4.8</v>
      </c>
      <c r="N8" s="77">
        <v>4.8</v>
      </c>
      <c r="O8" s="77">
        <v>5</v>
      </c>
      <c r="P8" s="77">
        <v>4.8</v>
      </c>
      <c r="Q8" s="63">
        <f t="shared" ref="Q8:Q12" si="0">IF(A8&lt;&gt;"", I8*0.3 + J8*0.2 + K8*0.1 + L8*0.1 + M8*0.1 + N8*0.1 + O8*0.05 + P8*0.05, "")</f>
        <v>4.83</v>
      </c>
      <c r="R8" s="64">
        <f t="shared" ref="R8:R12" si="1">IF(A8&lt;&gt;"", (($I$4/5)*I8) + (($J$4/5)*J8) + (($K$4/5)*K8) + (($L$4/5)*L8) + (($M$4/5)*M8) + (($N$4/5)*N8) + (($O$4/5)*O8) + (($P$4/5)*P8), "")</f>
        <v>0.92399999999999993</v>
      </c>
      <c r="S8" s="60" t="s">
        <v>740</v>
      </c>
      <c r="T8" s="60">
        <f>IFERROR(VLOOKUP(F8,Database!F:G,2,0),0)</f>
        <v>2000</v>
      </c>
      <c r="U8" s="66">
        <v>0.67</v>
      </c>
      <c r="V8" s="38">
        <v>0.96494559999999996</v>
      </c>
      <c r="W8" s="66">
        <v>1280</v>
      </c>
      <c r="X8" s="66">
        <v>1</v>
      </c>
      <c r="Y8" s="38">
        <v>0.96494559999999996</v>
      </c>
      <c r="Z8" s="66">
        <v>1910</v>
      </c>
      <c r="AA8" s="66">
        <v>1</v>
      </c>
      <c r="AB8" s="38">
        <v>0.96494559999999996</v>
      </c>
      <c r="AC8" s="66">
        <v>1910</v>
      </c>
      <c r="AD8" s="66">
        <v>1</v>
      </c>
      <c r="AE8" s="38">
        <f t="shared" ref="AE8:AE12" si="2">$AF$6/$AE$6</f>
        <v>0.72181018113207551</v>
      </c>
      <c r="AF8" s="233">
        <f t="shared" ref="AF8:AF12" si="3">CEILING($R8*$T8*AD8*AE8,10)</f>
        <v>1340</v>
      </c>
    </row>
    <row r="9" spans="1:32">
      <c r="A9" s="60">
        <v>2</v>
      </c>
      <c r="B9" s="61" t="s">
        <v>230</v>
      </c>
      <c r="C9" s="62" t="s">
        <v>231</v>
      </c>
      <c r="D9" s="62" t="s">
        <v>170</v>
      </c>
      <c r="E9" s="62" t="s">
        <v>426</v>
      </c>
      <c r="F9" s="36" t="s">
        <v>435</v>
      </c>
      <c r="G9" s="62"/>
      <c r="H9" s="62" t="s">
        <v>360</v>
      </c>
      <c r="I9" s="77">
        <v>4.9000000000000004</v>
      </c>
      <c r="J9" s="77">
        <v>4.8</v>
      </c>
      <c r="K9" s="77">
        <v>5</v>
      </c>
      <c r="L9" s="77">
        <v>5</v>
      </c>
      <c r="M9" s="77">
        <v>4.8</v>
      </c>
      <c r="N9" s="77">
        <v>4.7</v>
      </c>
      <c r="O9" s="77">
        <v>5</v>
      </c>
      <c r="P9" s="77">
        <v>4.8</v>
      </c>
      <c r="Q9" s="63">
        <f t="shared" si="0"/>
        <v>4.87</v>
      </c>
      <c r="R9" s="64">
        <f t="shared" si="1"/>
        <v>0.92599999999999993</v>
      </c>
      <c r="S9" s="60" t="s">
        <v>740</v>
      </c>
      <c r="T9" s="60">
        <f>IFERROR(VLOOKUP(F9,Database!F:G,2,0),0)</f>
        <v>2000</v>
      </c>
      <c r="U9" s="90">
        <v>1</v>
      </c>
      <c r="V9" s="38">
        <v>0.96494559999999996</v>
      </c>
      <c r="W9" s="66">
        <v>2130</v>
      </c>
      <c r="X9" s="90">
        <v>0.32</v>
      </c>
      <c r="Y9" s="38">
        <v>0.96494559999999996</v>
      </c>
      <c r="Z9" s="66">
        <v>680</v>
      </c>
      <c r="AA9" s="90">
        <v>1</v>
      </c>
      <c r="AB9" s="38">
        <v>0.96494559999999996</v>
      </c>
      <c r="AC9" s="66">
        <v>2130</v>
      </c>
      <c r="AD9" s="90">
        <v>1</v>
      </c>
      <c r="AE9" s="38">
        <f t="shared" si="2"/>
        <v>0.72181018113207551</v>
      </c>
      <c r="AF9" s="233">
        <f t="shared" si="3"/>
        <v>1340</v>
      </c>
    </row>
    <row r="10" spans="1:32" s="8" customFormat="1">
      <c r="A10" s="60">
        <v>3</v>
      </c>
      <c r="B10" s="61" t="s">
        <v>232</v>
      </c>
      <c r="C10" s="62" t="s">
        <v>233</v>
      </c>
      <c r="D10" s="62" t="s">
        <v>170</v>
      </c>
      <c r="E10" s="62" t="s">
        <v>298</v>
      </c>
      <c r="F10" s="36" t="s">
        <v>666</v>
      </c>
      <c r="G10" s="62"/>
      <c r="H10" s="62" t="s">
        <v>360</v>
      </c>
      <c r="I10" s="77">
        <v>5</v>
      </c>
      <c r="J10" s="77">
        <v>5</v>
      </c>
      <c r="K10" s="77">
        <v>5</v>
      </c>
      <c r="L10" s="77">
        <v>5</v>
      </c>
      <c r="M10" s="77">
        <v>5</v>
      </c>
      <c r="N10" s="77">
        <v>4.9000000000000004</v>
      </c>
      <c r="O10" s="77">
        <v>5</v>
      </c>
      <c r="P10" s="77">
        <v>4.9000000000000004</v>
      </c>
      <c r="Q10" s="63">
        <f t="shared" si="0"/>
        <v>4.9850000000000003</v>
      </c>
      <c r="R10" s="64">
        <f t="shared" si="1"/>
        <v>0.94699999999999995</v>
      </c>
      <c r="S10" s="60" t="s">
        <v>740</v>
      </c>
      <c r="T10" s="60">
        <f>IFERROR(VLOOKUP(F10,Database!F:G,2,0),0)</f>
        <v>2200</v>
      </c>
      <c r="U10" s="66">
        <v>0.2</v>
      </c>
      <c r="V10" s="38">
        <v>0.96494559999999996</v>
      </c>
      <c r="W10" s="66">
        <v>430</v>
      </c>
      <c r="X10" s="66">
        <v>1</v>
      </c>
      <c r="Y10" s="38">
        <v>0.96494559999999996</v>
      </c>
      <c r="Z10" s="66">
        <v>2110</v>
      </c>
      <c r="AA10" s="66">
        <v>1</v>
      </c>
      <c r="AB10" s="38">
        <v>0.96494559999999996</v>
      </c>
      <c r="AC10" s="66">
        <v>2110</v>
      </c>
      <c r="AD10" s="66">
        <v>1</v>
      </c>
      <c r="AE10" s="38">
        <f t="shared" si="2"/>
        <v>0.72181018113207551</v>
      </c>
      <c r="AF10" s="233">
        <f t="shared" si="3"/>
        <v>1510</v>
      </c>
    </row>
    <row r="11" spans="1:32" s="8" customFormat="1">
      <c r="A11" s="60">
        <v>4</v>
      </c>
      <c r="B11" s="290" t="s">
        <v>234</v>
      </c>
      <c r="C11" s="291" t="s">
        <v>235</v>
      </c>
      <c r="D11" s="291" t="s">
        <v>170</v>
      </c>
      <c r="E11" s="291" t="s">
        <v>298</v>
      </c>
      <c r="F11" s="250" t="s">
        <v>666</v>
      </c>
      <c r="G11" s="291"/>
      <c r="H11" s="291" t="s">
        <v>784</v>
      </c>
      <c r="I11" s="323">
        <v>5</v>
      </c>
      <c r="J11" s="323">
        <v>4.8</v>
      </c>
      <c r="K11" s="323">
        <v>5</v>
      </c>
      <c r="L11" s="323">
        <v>5</v>
      </c>
      <c r="M11" s="323">
        <v>4.8</v>
      </c>
      <c r="N11" s="323">
        <v>4.8</v>
      </c>
      <c r="O11" s="323">
        <v>5</v>
      </c>
      <c r="P11" s="323">
        <v>4.8</v>
      </c>
      <c r="Q11" s="292">
        <f t="shared" si="0"/>
        <v>4.91</v>
      </c>
      <c r="R11" s="293">
        <f t="shared" si="1"/>
        <v>0.92799999999999994</v>
      </c>
      <c r="S11" s="334" t="s">
        <v>740</v>
      </c>
      <c r="T11" s="334">
        <f>IFERROR(VLOOKUP(F11,Database!F:G,2,0),0)</f>
        <v>2200</v>
      </c>
      <c r="U11" s="296">
        <v>1</v>
      </c>
      <c r="V11" s="325">
        <v>0.96494559999999996</v>
      </c>
      <c r="W11" s="296">
        <v>2090</v>
      </c>
      <c r="X11" s="296">
        <v>1</v>
      </c>
      <c r="Y11" s="325">
        <v>0.96494559999999996</v>
      </c>
      <c r="Z11" s="296">
        <v>2090</v>
      </c>
      <c r="AA11" s="296">
        <v>1</v>
      </c>
      <c r="AB11" s="325">
        <v>0.96494559999999996</v>
      </c>
      <c r="AC11" s="296">
        <v>2090</v>
      </c>
      <c r="AD11" s="296">
        <v>0.19</v>
      </c>
      <c r="AE11" s="325">
        <f t="shared" si="2"/>
        <v>0.72181018113207551</v>
      </c>
      <c r="AF11" s="335">
        <f t="shared" si="3"/>
        <v>280</v>
      </c>
    </row>
    <row r="12" spans="1:32">
      <c r="A12" s="60">
        <v>5</v>
      </c>
      <c r="B12" s="61" t="s">
        <v>236</v>
      </c>
      <c r="C12" s="62" t="s">
        <v>237</v>
      </c>
      <c r="D12" s="62" t="s">
        <v>170</v>
      </c>
      <c r="E12" s="62" t="s">
        <v>298</v>
      </c>
      <c r="F12" s="83" t="s">
        <v>666</v>
      </c>
      <c r="G12" s="62"/>
      <c r="H12" s="62" t="s">
        <v>360</v>
      </c>
      <c r="I12" s="77">
        <v>5</v>
      </c>
      <c r="J12" s="77">
        <v>4.9000000000000004</v>
      </c>
      <c r="K12" s="77">
        <v>5</v>
      </c>
      <c r="L12" s="77">
        <v>5</v>
      </c>
      <c r="M12" s="77">
        <v>4.9000000000000004</v>
      </c>
      <c r="N12" s="77">
        <v>4.9000000000000004</v>
      </c>
      <c r="O12" s="77">
        <v>5</v>
      </c>
      <c r="P12" s="77">
        <v>4.8</v>
      </c>
      <c r="Q12" s="63">
        <f t="shared" si="0"/>
        <v>4.95</v>
      </c>
      <c r="R12" s="64">
        <f t="shared" si="1"/>
        <v>0.93799999999999994</v>
      </c>
      <c r="S12" s="60" t="s">
        <v>740</v>
      </c>
      <c r="T12" s="60">
        <f>IFERROR(VLOOKUP(F12,Database!F:G,2,0),0)</f>
        <v>2200</v>
      </c>
      <c r="U12" s="66">
        <v>1</v>
      </c>
      <c r="V12" s="38">
        <v>0.96494559999999996</v>
      </c>
      <c r="W12" s="66">
        <v>2140</v>
      </c>
      <c r="X12" s="66">
        <v>1</v>
      </c>
      <c r="Y12" s="38">
        <v>0.96494559999999996</v>
      </c>
      <c r="Z12" s="66">
        <v>2140</v>
      </c>
      <c r="AA12" s="66">
        <v>0.68</v>
      </c>
      <c r="AB12" s="38">
        <v>0.96494559999999996</v>
      </c>
      <c r="AC12" s="66">
        <v>1460</v>
      </c>
      <c r="AD12" s="66">
        <v>1</v>
      </c>
      <c r="AE12" s="38">
        <f t="shared" si="2"/>
        <v>0.72181018113207551</v>
      </c>
      <c r="AF12" s="233">
        <f t="shared" si="3"/>
        <v>1490</v>
      </c>
    </row>
    <row r="13" spans="1:32">
      <c r="E13" s="42"/>
      <c r="F13" s="42"/>
      <c r="G13" s="42"/>
      <c r="H13" s="42"/>
      <c r="I13" s="109">
        <v>4.5999999999999996</v>
      </c>
      <c r="J13" s="109">
        <v>4.4000000000000004</v>
      </c>
      <c r="K13" s="109">
        <v>5</v>
      </c>
      <c r="L13" s="109">
        <v>5</v>
      </c>
      <c r="M13" s="109">
        <v>4</v>
      </c>
      <c r="N13" s="109">
        <v>4.8</v>
      </c>
      <c r="O13" s="109">
        <v>5</v>
      </c>
      <c r="P13" s="109">
        <v>4.5</v>
      </c>
      <c r="T13" s="111">
        <f>SUM(T8:T12)</f>
        <v>10600</v>
      </c>
      <c r="W13" s="111">
        <f>SUM(W8:W12)</f>
        <v>8070</v>
      </c>
      <c r="Z13" s="111">
        <f>SUM(Z8:Z12)</f>
        <v>8930</v>
      </c>
      <c r="AC13" s="111">
        <f>SUM(AC8:AC12)</f>
        <v>9700</v>
      </c>
      <c r="AF13" s="364">
        <f>SUM(AF8:AF12)</f>
        <v>5960</v>
      </c>
    </row>
    <row r="14" spans="1:32">
      <c r="E14" s="42"/>
      <c r="F14" s="42"/>
      <c r="G14" s="42"/>
      <c r="H14" s="42"/>
      <c r="I14" s="109"/>
      <c r="J14" s="109"/>
      <c r="K14" s="109"/>
      <c r="L14" s="109"/>
      <c r="M14" s="109"/>
      <c r="N14" s="109"/>
      <c r="O14" s="109"/>
      <c r="P14" s="109"/>
    </row>
    <row r="15" spans="1:32">
      <c r="E15" s="42"/>
      <c r="F15" s="42"/>
      <c r="G15" s="42"/>
      <c r="H15" s="42"/>
      <c r="I15" s="109"/>
      <c r="J15" s="109"/>
      <c r="K15" s="109"/>
      <c r="L15" s="109"/>
      <c r="M15" s="109"/>
      <c r="N15" s="109"/>
      <c r="O15" s="109"/>
      <c r="P15" s="109"/>
    </row>
    <row r="16" spans="1:32">
      <c r="E16" s="42"/>
      <c r="F16" s="42"/>
      <c r="G16" s="42"/>
      <c r="H16" s="42"/>
      <c r="I16" s="109"/>
      <c r="J16" s="109"/>
      <c r="K16" s="109"/>
      <c r="L16" s="109"/>
      <c r="M16" s="109"/>
      <c r="N16" s="109"/>
      <c r="O16" s="109"/>
      <c r="P16" s="109"/>
    </row>
    <row r="17" spans="5:16">
      <c r="E17" s="42"/>
      <c r="F17" s="42"/>
      <c r="G17" s="42"/>
      <c r="H17" s="42"/>
      <c r="I17" s="109"/>
      <c r="J17" s="109"/>
      <c r="K17" s="109"/>
      <c r="L17" s="109"/>
      <c r="M17" s="109"/>
      <c r="N17" s="109"/>
      <c r="O17" s="109"/>
      <c r="P17" s="109"/>
    </row>
    <row r="18" spans="5:16">
      <c r="E18" s="42"/>
      <c r="F18" s="42"/>
      <c r="G18" s="42"/>
      <c r="H18" s="42"/>
      <c r="I18" s="109"/>
      <c r="J18" s="109"/>
      <c r="K18" s="109"/>
      <c r="L18" s="109"/>
      <c r="M18" s="109"/>
      <c r="N18" s="109"/>
      <c r="O18" s="109"/>
      <c r="P18" s="109"/>
    </row>
    <row r="19" spans="5:16">
      <c r="E19" s="42"/>
      <c r="F19" s="42"/>
      <c r="G19" s="42"/>
      <c r="H19" s="42"/>
      <c r="I19" s="109"/>
      <c r="J19" s="109"/>
      <c r="K19" s="109"/>
      <c r="L19" s="109"/>
      <c r="M19" s="109"/>
      <c r="N19" s="109"/>
      <c r="O19" s="109"/>
      <c r="P19" s="109"/>
    </row>
  </sheetData>
  <mergeCells count="4">
    <mergeCell ref="A1:S1"/>
    <mergeCell ref="C2:I2"/>
    <mergeCell ref="C3:I3"/>
    <mergeCell ref="C4:I4"/>
  </mergeCells>
  <phoneticPr fontId="3" type="noConversion"/>
  <dataValidations count="5">
    <dataValidation allowBlank="1" showInputMessage="1" showErrorMessage="1" prompt="Represents the highest level of performance. Outstanding and exceptional achievements." sqref="I6"/>
    <dataValidation allowBlank="1" showInputMessage="1" showErrorMessage="1" prompt="Strong performance with positive results. Shows commitment and excellence." sqref="J6"/>
    <dataValidation allowBlank="1" showInputMessage="1" showErrorMessage="1" prompt="Acceptable performance with satisfactory results. Some aspects can be improved." sqref="K6"/>
    <dataValidation allowBlank="1" showInputMessage="1" showErrorMessage="1" prompt="Performance below expectations. Needs development and significant improvements." sqref="L6"/>
    <dataValidation allowBlank="1" showInputMessage="1" showErrorMessage="1" prompt="The lowest level of performance. Requires drastic changes for improvement." sqref="M6"/>
  </dataValidations>
  <pageMargins left="0.7" right="0.7" top="0.75" bottom="0.75" header="0.3" footer="0.3"/>
  <pageSetup paperSize="9" scale="56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Database!$F$2:$F$47</xm:f>
          </x14:formula1>
          <xm:sqref>F8:F12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F49"/>
  <sheetViews>
    <sheetView tabSelected="1" zoomScale="70" zoomScaleNormal="70" workbookViewId="0">
      <pane xSplit="3" ySplit="7" topLeftCell="K29" activePane="bottomRight" state="frozen"/>
      <selection pane="topRight" activeCell="D1" sqref="D1"/>
      <selection pane="bottomLeft" activeCell="A8" sqref="A8"/>
      <selection pane="bottomRight" activeCell="AG36" sqref="AG36"/>
    </sheetView>
  </sheetViews>
  <sheetFormatPr defaultColWidth="8.875" defaultRowHeight="13.5"/>
  <cols>
    <col min="1" max="2" width="7.6875" style="42" customWidth="1"/>
    <col min="3" max="3" width="24" style="42" customWidth="1"/>
    <col min="4" max="4" width="19.125" style="42" hidden="1" customWidth="1"/>
    <col min="5" max="5" width="18.25" style="42" hidden="1" customWidth="1"/>
    <col min="6" max="6" width="15.875" style="42" customWidth="1"/>
    <col min="7" max="7" width="8.25" style="42" hidden="1" customWidth="1"/>
    <col min="8" max="8" width="26.25" style="42" customWidth="1"/>
    <col min="9" max="9" width="9.3125" style="82" customWidth="1"/>
    <col min="10" max="10" width="10.3125" style="82" customWidth="1"/>
    <col min="11" max="13" width="8.6875" style="82" customWidth="1"/>
    <col min="14" max="14" width="7.6875" style="82" customWidth="1"/>
    <col min="15" max="16" width="8.6875" style="82" customWidth="1"/>
    <col min="17" max="17" width="6.875" style="42" customWidth="1"/>
    <col min="18" max="18" width="8" style="42" customWidth="1"/>
    <col min="19" max="19" width="9" style="42" customWidth="1"/>
    <col min="20" max="20" width="9.875" style="42" bestFit="1" customWidth="1"/>
    <col min="21" max="21" width="8.875" style="42" hidden="1" customWidth="1"/>
    <col min="22" max="22" width="10.25" style="42" hidden="1" customWidth="1"/>
    <col min="23" max="23" width="11.875" style="126" hidden="1" customWidth="1"/>
    <col min="24" max="24" width="8.875" style="42" hidden="1" customWidth="1"/>
    <col min="25" max="25" width="10.25" style="42" hidden="1" customWidth="1"/>
    <col min="26" max="26" width="11.875" style="126" hidden="1" customWidth="1"/>
    <col min="27" max="27" width="8.875" style="42" hidden="1" customWidth="1"/>
    <col min="28" max="28" width="10.25" style="42" hidden="1" customWidth="1"/>
    <col min="29" max="29" width="11.875" style="126" hidden="1" customWidth="1"/>
    <col min="30" max="30" width="8.875" style="42" customWidth="1"/>
    <col min="31" max="31" width="10.25" style="42" bestFit="1" customWidth="1"/>
    <col min="32" max="32" width="11.875" style="126" customWidth="1"/>
    <col min="33" max="16384" width="8.875" style="42"/>
  </cols>
  <sheetData>
    <row r="1" spans="1:32" ht="20.25">
      <c r="A1" s="391" t="s">
        <v>0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40"/>
      <c r="U1" s="41"/>
      <c r="V1" s="41"/>
      <c r="W1" s="112"/>
      <c r="X1" s="41"/>
      <c r="Y1" s="41"/>
      <c r="Z1" s="112"/>
      <c r="AA1" s="41"/>
      <c r="AB1" s="41"/>
      <c r="AC1" s="112"/>
      <c r="AD1" s="41"/>
      <c r="AE1" s="41"/>
      <c r="AF1" s="112"/>
    </row>
    <row r="2" spans="1:32" ht="20.25">
      <c r="A2" s="43" t="s">
        <v>1</v>
      </c>
      <c r="B2" s="44"/>
      <c r="C2" s="392" t="s">
        <v>631</v>
      </c>
      <c r="D2" s="392"/>
      <c r="E2" s="392"/>
      <c r="F2" s="392"/>
      <c r="G2" s="392"/>
      <c r="H2" s="392"/>
      <c r="I2" s="392"/>
      <c r="J2" s="45"/>
      <c r="K2" s="46"/>
      <c r="L2" s="47"/>
      <c r="M2" s="47"/>
      <c r="N2" s="47"/>
      <c r="O2" s="40" t="s">
        <v>189</v>
      </c>
      <c r="P2" s="40">
        <f>COUNTA(C8:C1048576)</f>
        <v>41</v>
      </c>
      <c r="Q2" s="8"/>
      <c r="R2" s="8"/>
      <c r="S2" s="8"/>
      <c r="T2" s="8"/>
      <c r="U2" s="41"/>
      <c r="V2" s="41"/>
      <c r="W2" s="112"/>
      <c r="X2" s="41"/>
      <c r="Y2" s="41"/>
      <c r="Z2" s="112"/>
      <c r="AA2" s="41"/>
      <c r="AB2" s="41"/>
      <c r="AC2" s="112"/>
      <c r="AD2" s="41"/>
      <c r="AE2" s="41"/>
      <c r="AF2" s="112"/>
    </row>
    <row r="3" spans="1:32" ht="15.6" customHeight="1">
      <c r="A3" s="43" t="s">
        <v>4</v>
      </c>
      <c r="B3" s="48"/>
      <c r="C3" s="393" t="s">
        <v>242</v>
      </c>
      <c r="D3" s="393"/>
      <c r="E3" s="393"/>
      <c r="F3" s="393"/>
      <c r="G3" s="393"/>
      <c r="H3" s="393"/>
      <c r="I3" s="393"/>
      <c r="J3" s="127" t="s">
        <v>21</v>
      </c>
      <c r="K3" s="127" t="s">
        <v>22</v>
      </c>
      <c r="L3" s="127" t="s">
        <v>23</v>
      </c>
      <c r="M3" s="127" t="s">
        <v>24</v>
      </c>
      <c r="N3" s="127" t="s">
        <v>25</v>
      </c>
      <c r="O3" s="127" t="s">
        <v>26</v>
      </c>
      <c r="P3" s="127" t="s">
        <v>27</v>
      </c>
      <c r="Q3" s="127" t="s">
        <v>28</v>
      </c>
      <c r="R3" s="8"/>
      <c r="S3" s="8"/>
      <c r="T3" s="8"/>
      <c r="U3" s="41"/>
      <c r="V3" s="41"/>
      <c r="W3" s="112"/>
      <c r="X3" s="41"/>
      <c r="Y3" s="41"/>
      <c r="Z3" s="112"/>
      <c r="AA3" s="41"/>
      <c r="AB3" s="41"/>
      <c r="AC3" s="112"/>
      <c r="AD3" s="41"/>
      <c r="AE3" s="41"/>
      <c r="AF3" s="112"/>
    </row>
    <row r="4" spans="1:32" ht="15.6" customHeight="1">
      <c r="A4" s="43" t="s">
        <v>5</v>
      </c>
      <c r="B4" s="48"/>
      <c r="C4" s="393">
        <v>15271</v>
      </c>
      <c r="D4" s="393"/>
      <c r="E4" s="393"/>
      <c r="F4" s="393"/>
      <c r="G4" s="393"/>
      <c r="H4" s="393"/>
      <c r="I4" s="393"/>
      <c r="J4" s="128">
        <v>0.3</v>
      </c>
      <c r="K4" s="128">
        <v>0.2</v>
      </c>
      <c r="L4" s="128">
        <v>0.1</v>
      </c>
      <c r="M4" s="128">
        <v>0.1</v>
      </c>
      <c r="N4" s="128">
        <v>0.1</v>
      </c>
      <c r="O4" s="128">
        <v>0.1</v>
      </c>
      <c r="P4" s="128">
        <v>0.05</v>
      </c>
      <c r="Q4" s="128">
        <v>0.05</v>
      </c>
      <c r="R4" s="8"/>
      <c r="S4" s="8"/>
      <c r="T4" s="8"/>
      <c r="U4" s="41"/>
      <c r="V4" s="41"/>
      <c r="W4" s="112"/>
      <c r="X4" s="41"/>
      <c r="Y4" s="41"/>
      <c r="Z4" s="112"/>
      <c r="AA4" s="41"/>
      <c r="AB4" s="41"/>
      <c r="AC4" s="112"/>
      <c r="AD4" s="41"/>
      <c r="AE4" s="41"/>
      <c r="AF4" s="112"/>
    </row>
    <row r="5" spans="1:32" ht="15">
      <c r="A5" s="8"/>
      <c r="B5" s="8"/>
      <c r="C5" s="8"/>
      <c r="D5" s="8"/>
      <c r="E5" s="8"/>
      <c r="F5" s="8"/>
      <c r="G5" s="8"/>
      <c r="H5" s="8"/>
      <c r="I5" s="52" t="s">
        <v>6</v>
      </c>
      <c r="J5" s="53" t="s">
        <v>7</v>
      </c>
      <c r="K5" s="54" t="s">
        <v>8</v>
      </c>
      <c r="L5" s="55" t="s">
        <v>9</v>
      </c>
      <c r="M5" s="56" t="s">
        <v>10</v>
      </c>
      <c r="N5" s="8"/>
      <c r="O5" s="8"/>
      <c r="P5" s="8"/>
      <c r="Q5" s="8"/>
      <c r="R5" s="8"/>
      <c r="S5" s="113"/>
      <c r="T5" s="114" t="e">
        <f>#REF!*#REF!</f>
        <v>#REF!</v>
      </c>
      <c r="U5" s="41"/>
      <c r="V5" s="41"/>
      <c r="W5" s="112"/>
      <c r="X5" s="41"/>
      <c r="Y5" s="41"/>
      <c r="Z5" s="112"/>
      <c r="AA5" s="41"/>
      <c r="AB5" s="41"/>
      <c r="AC5" s="112"/>
      <c r="AD5" s="41"/>
      <c r="AE5" s="41"/>
      <c r="AF5" s="112"/>
    </row>
    <row r="6" spans="1:32" ht="18.600000000000001" customHeight="1">
      <c r="A6" s="8"/>
      <c r="B6" s="8"/>
      <c r="C6" s="8"/>
      <c r="D6" s="8"/>
      <c r="E6" s="8"/>
      <c r="F6" s="8"/>
      <c r="G6" s="8"/>
      <c r="H6" s="8"/>
      <c r="I6" s="52" t="s">
        <v>11</v>
      </c>
      <c r="J6" s="53" t="s">
        <v>12</v>
      </c>
      <c r="K6" s="54" t="s">
        <v>13</v>
      </c>
      <c r="L6" s="55" t="s">
        <v>14</v>
      </c>
      <c r="M6" s="56" t="s">
        <v>15</v>
      </c>
      <c r="N6" s="8"/>
      <c r="O6" s="8"/>
      <c r="P6" s="8"/>
      <c r="Q6" s="8"/>
      <c r="R6" s="8"/>
      <c r="S6" s="115" t="e">
        <f>#REF!*T6</f>
        <v>#REF!</v>
      </c>
      <c r="T6" s="114">
        <v>3</v>
      </c>
      <c r="U6" s="41"/>
      <c r="V6" s="50">
        <v>1000000</v>
      </c>
      <c r="W6" s="116">
        <v>1236951.5797759348</v>
      </c>
      <c r="X6" s="41"/>
      <c r="Y6" s="50">
        <v>1000000</v>
      </c>
      <c r="Z6" s="116">
        <v>1236951.5797759348</v>
      </c>
      <c r="AA6" s="41"/>
      <c r="AB6" s="50">
        <v>1000000</v>
      </c>
      <c r="AC6" s="116">
        <v>1236951.5797759348</v>
      </c>
      <c r="AD6" s="41"/>
      <c r="AE6" s="50">
        <v>1000000</v>
      </c>
      <c r="AF6" s="116">
        <v>634476.38212890562</v>
      </c>
    </row>
    <row r="7" spans="1:32" s="180" customFormat="1" ht="99.95" customHeight="1">
      <c r="A7" s="177" t="s">
        <v>16</v>
      </c>
      <c r="B7" s="177" t="s">
        <v>17</v>
      </c>
      <c r="C7" s="177" t="s">
        <v>18</v>
      </c>
      <c r="D7" s="177" t="s">
        <v>19</v>
      </c>
      <c r="E7" s="177" t="s">
        <v>20</v>
      </c>
      <c r="F7" s="178" t="s">
        <v>425</v>
      </c>
      <c r="G7" s="177" t="s">
        <v>363</v>
      </c>
      <c r="H7" s="177" t="s">
        <v>359</v>
      </c>
      <c r="I7" s="179" t="s">
        <v>21</v>
      </c>
      <c r="J7" s="179" t="s">
        <v>22</v>
      </c>
      <c r="K7" s="179" t="s">
        <v>23</v>
      </c>
      <c r="L7" s="179" t="s">
        <v>24</v>
      </c>
      <c r="M7" s="179" t="s">
        <v>25</v>
      </c>
      <c r="N7" s="179" t="s">
        <v>26</v>
      </c>
      <c r="O7" s="179" t="s">
        <v>27</v>
      </c>
      <c r="P7" s="179" t="s">
        <v>28</v>
      </c>
      <c r="Q7" s="177" t="s">
        <v>29</v>
      </c>
      <c r="R7" s="177" t="s">
        <v>432</v>
      </c>
      <c r="S7" s="177" t="s">
        <v>31</v>
      </c>
      <c r="T7" s="178" t="s">
        <v>364</v>
      </c>
      <c r="U7" s="177" t="s">
        <v>623</v>
      </c>
      <c r="V7" s="182" t="s">
        <v>420</v>
      </c>
      <c r="W7" s="177" t="s">
        <v>656</v>
      </c>
      <c r="X7" s="177" t="s">
        <v>623</v>
      </c>
      <c r="Y7" s="182" t="s">
        <v>420</v>
      </c>
      <c r="Z7" s="177" t="s">
        <v>673</v>
      </c>
      <c r="AA7" s="177" t="s">
        <v>623</v>
      </c>
      <c r="AB7" s="182" t="s">
        <v>420</v>
      </c>
      <c r="AC7" s="177" t="s">
        <v>680</v>
      </c>
      <c r="AD7" s="177" t="s">
        <v>623</v>
      </c>
      <c r="AE7" s="182" t="s">
        <v>420</v>
      </c>
      <c r="AF7" s="177" t="s">
        <v>755</v>
      </c>
    </row>
    <row r="8" spans="1:32">
      <c r="A8" s="60">
        <f>IF(B8&lt;&gt;"",ROW()-7,"")</f>
        <v>1</v>
      </c>
      <c r="B8" s="69">
        <v>4413</v>
      </c>
      <c r="C8" s="70" t="s">
        <v>540</v>
      </c>
      <c r="D8" s="70" t="s">
        <v>340</v>
      </c>
      <c r="E8" s="70" t="s">
        <v>365</v>
      </c>
      <c r="F8" s="83" t="s">
        <v>396</v>
      </c>
      <c r="G8" s="70"/>
      <c r="H8" s="62" t="s">
        <v>360</v>
      </c>
      <c r="I8" s="71">
        <v>5</v>
      </c>
      <c r="J8" s="71">
        <v>4</v>
      </c>
      <c r="K8" s="71">
        <v>4</v>
      </c>
      <c r="L8" s="71">
        <v>5</v>
      </c>
      <c r="M8" s="71">
        <v>5</v>
      </c>
      <c r="N8" s="71">
        <v>5</v>
      </c>
      <c r="O8" s="71">
        <v>4</v>
      </c>
      <c r="P8" s="71">
        <v>5</v>
      </c>
      <c r="Q8" s="70">
        <v>4.6499999999999995</v>
      </c>
      <c r="R8" s="117">
        <v>0.92999999999999994</v>
      </c>
      <c r="S8" s="65" t="str">
        <f t="shared" ref="S8:S48" si="0">IF(B8&lt;&gt;"", IF(Q8=0, "No-Grade",   IF(AND(Q8&gt;=4.5, Q8&lt;=5), "Grade-A",   IF(AND(Q8&gt;=3, Q8&lt;4.5), "Grade-B",   IF(AND(Q8&gt;=2, Q8&lt;3), "Grade-C",   IF(Q8&lt;2, "Grade-D",   "Grade-D"))))), "")</f>
        <v>Grade-A</v>
      </c>
      <c r="T8" s="118">
        <f>IFERROR(VLOOKUP(F8,Database!F:G,2,0),0)</f>
        <v>2000</v>
      </c>
      <c r="U8" s="66">
        <v>1</v>
      </c>
      <c r="V8" s="38">
        <v>1.2369515797759347</v>
      </c>
      <c r="W8" s="119">
        <v>2310</v>
      </c>
      <c r="X8" s="66">
        <v>1</v>
      </c>
      <c r="Y8" s="38">
        <v>1.2369515797759347</v>
      </c>
      <c r="Z8" s="119">
        <v>2310</v>
      </c>
      <c r="AA8" s="66">
        <v>0.94</v>
      </c>
      <c r="AB8" s="38">
        <v>1.2369515797759347</v>
      </c>
      <c r="AC8" s="119">
        <v>2170</v>
      </c>
      <c r="AD8" s="282">
        <v>1</v>
      </c>
      <c r="AE8" s="38">
        <f>$AF$6/$AE$6</f>
        <v>0.63447638212890567</v>
      </c>
      <c r="AF8" s="234">
        <f>CEILING(R8*T8*AD8*AE8,10)</f>
        <v>1190</v>
      </c>
    </row>
    <row r="9" spans="1:32" s="8" customFormat="1">
      <c r="A9" s="60">
        <f t="shared" ref="A9:A48" si="1">IF(B9&lt;&gt;"",ROW()-7,"")</f>
        <v>2</v>
      </c>
      <c r="B9" s="69">
        <v>4516</v>
      </c>
      <c r="C9" s="70" t="s">
        <v>541</v>
      </c>
      <c r="D9" s="70" t="s">
        <v>341</v>
      </c>
      <c r="E9" s="70" t="s">
        <v>375</v>
      </c>
      <c r="F9" s="83" t="s">
        <v>365</v>
      </c>
      <c r="G9" s="70"/>
      <c r="H9" s="62" t="s">
        <v>360</v>
      </c>
      <c r="I9" s="71">
        <v>5</v>
      </c>
      <c r="J9" s="71">
        <v>4</v>
      </c>
      <c r="K9" s="71">
        <v>4</v>
      </c>
      <c r="L9" s="71">
        <v>5</v>
      </c>
      <c r="M9" s="71">
        <v>4</v>
      </c>
      <c r="N9" s="71">
        <v>4</v>
      </c>
      <c r="O9" s="71">
        <v>4</v>
      </c>
      <c r="P9" s="71">
        <v>5</v>
      </c>
      <c r="Q9" s="70">
        <v>4.4499999999999993</v>
      </c>
      <c r="R9" s="117">
        <v>0.8899999999999999</v>
      </c>
      <c r="S9" s="65" t="str">
        <f t="shared" si="0"/>
        <v>Grade-B</v>
      </c>
      <c r="T9" s="118">
        <f>IFERROR(VLOOKUP(F9,Database!F:G,2,0),0)</f>
        <v>1700</v>
      </c>
      <c r="U9" s="90">
        <v>1</v>
      </c>
      <c r="V9" s="121">
        <v>1.2369515797759347</v>
      </c>
      <c r="W9" s="119">
        <v>1750</v>
      </c>
      <c r="X9" s="90">
        <v>1</v>
      </c>
      <c r="Y9" s="121">
        <v>1.2369515797759347</v>
      </c>
      <c r="Z9" s="119">
        <v>1750</v>
      </c>
      <c r="AA9" s="90">
        <v>0</v>
      </c>
      <c r="AB9" s="121">
        <v>1.2369515797759347</v>
      </c>
      <c r="AC9" s="119">
        <v>0</v>
      </c>
      <c r="AD9" s="283">
        <v>1</v>
      </c>
      <c r="AE9" s="38">
        <f t="shared" ref="AE9:AE48" si="2">$AF$6/$AE$6</f>
        <v>0.63447638212890567</v>
      </c>
      <c r="AF9" s="234">
        <f t="shared" ref="AF9:AF48" si="3">CEILING(R9*T9*AD9*AE9,10)</f>
        <v>960</v>
      </c>
    </row>
    <row r="10" spans="1:32">
      <c r="A10" s="60">
        <f t="shared" si="1"/>
        <v>3</v>
      </c>
      <c r="B10" s="61">
        <v>15781</v>
      </c>
      <c r="C10" s="62" t="s">
        <v>542</v>
      </c>
      <c r="D10" s="62" t="s">
        <v>342</v>
      </c>
      <c r="E10" s="62" t="s">
        <v>387</v>
      </c>
      <c r="F10" s="36" t="s">
        <v>370</v>
      </c>
      <c r="G10" s="62"/>
      <c r="H10" s="62" t="s">
        <v>360</v>
      </c>
      <c r="I10" s="77">
        <v>4</v>
      </c>
      <c r="J10" s="77">
        <v>4</v>
      </c>
      <c r="K10" s="77">
        <v>5</v>
      </c>
      <c r="L10" s="77">
        <v>5</v>
      </c>
      <c r="M10" s="77">
        <v>4</v>
      </c>
      <c r="N10" s="77">
        <v>4</v>
      </c>
      <c r="O10" s="77">
        <v>3</v>
      </c>
      <c r="P10" s="77">
        <v>4</v>
      </c>
      <c r="Q10" s="123">
        <v>4.1499999999999995</v>
      </c>
      <c r="R10" s="120">
        <v>0.83</v>
      </c>
      <c r="S10" s="65" t="str">
        <f t="shared" si="0"/>
        <v>Grade-B</v>
      </c>
      <c r="T10" s="118">
        <f>IFERROR(VLOOKUP(F10,Database!F:G,2,0),0)</f>
        <v>600</v>
      </c>
      <c r="U10" s="66">
        <v>1</v>
      </c>
      <c r="V10" s="125">
        <v>1.2369515797759347</v>
      </c>
      <c r="W10" s="122">
        <v>670</v>
      </c>
      <c r="X10" s="66">
        <v>1</v>
      </c>
      <c r="Y10" s="125">
        <v>1.2369515797759347</v>
      </c>
      <c r="Z10" s="122">
        <v>670</v>
      </c>
      <c r="AA10" s="66">
        <v>1</v>
      </c>
      <c r="AB10" s="125">
        <v>1.2369515797759347</v>
      </c>
      <c r="AC10" s="122">
        <v>670</v>
      </c>
      <c r="AD10" s="282">
        <v>1</v>
      </c>
      <c r="AE10" s="38">
        <f t="shared" si="2"/>
        <v>0.63447638212890567</v>
      </c>
      <c r="AF10" s="234">
        <f t="shared" si="3"/>
        <v>320</v>
      </c>
    </row>
    <row r="11" spans="1:32">
      <c r="A11" s="60">
        <f t="shared" si="1"/>
        <v>4</v>
      </c>
      <c r="B11" s="61">
        <v>503</v>
      </c>
      <c r="C11" s="62" t="s">
        <v>543</v>
      </c>
      <c r="D11" s="62" t="s">
        <v>343</v>
      </c>
      <c r="E11" s="62" t="s">
        <v>370</v>
      </c>
      <c r="F11" s="36" t="s">
        <v>370</v>
      </c>
      <c r="G11" s="62"/>
      <c r="H11" s="62" t="s">
        <v>360</v>
      </c>
      <c r="I11" s="77">
        <v>5</v>
      </c>
      <c r="J11" s="77">
        <v>5</v>
      </c>
      <c r="K11" s="77">
        <v>5</v>
      </c>
      <c r="L11" s="77">
        <v>5</v>
      </c>
      <c r="M11" s="77">
        <v>4</v>
      </c>
      <c r="N11" s="77">
        <v>3</v>
      </c>
      <c r="O11" s="77">
        <v>4</v>
      </c>
      <c r="P11" s="77">
        <v>3</v>
      </c>
      <c r="Q11" s="123">
        <v>4.5500000000000007</v>
      </c>
      <c r="R11" s="124">
        <v>0.90999999999999992</v>
      </c>
      <c r="S11" s="65" t="str">
        <f t="shared" si="0"/>
        <v>Grade-A</v>
      </c>
      <c r="T11" s="118">
        <f>IFERROR(VLOOKUP(F11,Database!F:G,2,0),0)</f>
        <v>600</v>
      </c>
      <c r="U11" s="66">
        <v>1</v>
      </c>
      <c r="V11" s="121">
        <v>1.2369515797759347</v>
      </c>
      <c r="W11" s="122">
        <v>680</v>
      </c>
      <c r="X11" s="66">
        <v>1</v>
      </c>
      <c r="Y11" s="121">
        <v>1.2369515797759347</v>
      </c>
      <c r="Z11" s="122">
        <v>680</v>
      </c>
      <c r="AA11" s="66">
        <v>1</v>
      </c>
      <c r="AB11" s="121">
        <v>1.2369515797759347</v>
      </c>
      <c r="AC11" s="122">
        <v>680</v>
      </c>
      <c r="AD11" s="200">
        <v>1.2</v>
      </c>
      <c r="AE11" s="38">
        <f t="shared" si="2"/>
        <v>0.63447638212890567</v>
      </c>
      <c r="AF11" s="234">
        <f t="shared" si="3"/>
        <v>420</v>
      </c>
    </row>
    <row r="12" spans="1:32">
      <c r="A12" s="60">
        <f t="shared" si="1"/>
        <v>5</v>
      </c>
      <c r="B12" s="61">
        <v>16734</v>
      </c>
      <c r="C12" s="62" t="s">
        <v>544</v>
      </c>
      <c r="D12" s="62" t="s">
        <v>344</v>
      </c>
      <c r="E12" s="62" t="s">
        <v>372</v>
      </c>
      <c r="F12" s="36" t="s">
        <v>372</v>
      </c>
      <c r="G12" s="62"/>
      <c r="H12" s="62" t="s">
        <v>360</v>
      </c>
      <c r="I12" s="77">
        <v>5</v>
      </c>
      <c r="J12" s="77">
        <v>5</v>
      </c>
      <c r="K12" s="77">
        <v>4</v>
      </c>
      <c r="L12" s="77">
        <v>5</v>
      </c>
      <c r="M12" s="77">
        <v>4</v>
      </c>
      <c r="N12" s="77">
        <v>4</v>
      </c>
      <c r="O12" s="77">
        <v>4</v>
      </c>
      <c r="P12" s="77">
        <v>3</v>
      </c>
      <c r="Q12" s="123">
        <v>4.5500000000000007</v>
      </c>
      <c r="R12" s="124">
        <v>0.90999999999999992</v>
      </c>
      <c r="S12" s="65" t="str">
        <f t="shared" si="0"/>
        <v>Grade-A</v>
      </c>
      <c r="T12" s="118">
        <f>IFERROR(VLOOKUP(F12,Database!F:G,2,0),0)</f>
        <v>800</v>
      </c>
      <c r="U12" s="66">
        <v>1</v>
      </c>
      <c r="V12" s="121">
        <v>1.2369515797759347</v>
      </c>
      <c r="W12" s="122">
        <v>920</v>
      </c>
      <c r="X12" s="66">
        <v>1</v>
      </c>
      <c r="Y12" s="121">
        <v>1.2369515797759347</v>
      </c>
      <c r="Z12" s="122">
        <v>920</v>
      </c>
      <c r="AA12" s="66">
        <v>1</v>
      </c>
      <c r="AB12" s="121">
        <v>1.2369515797759347</v>
      </c>
      <c r="AC12" s="122">
        <v>920</v>
      </c>
      <c r="AD12" s="282">
        <v>1</v>
      </c>
      <c r="AE12" s="38">
        <f t="shared" si="2"/>
        <v>0.63447638212890567</v>
      </c>
      <c r="AF12" s="234">
        <f t="shared" si="3"/>
        <v>470</v>
      </c>
    </row>
    <row r="13" spans="1:32">
      <c r="A13" s="60">
        <f t="shared" si="1"/>
        <v>6</v>
      </c>
      <c r="B13" s="61">
        <v>527</v>
      </c>
      <c r="C13" s="62" t="s">
        <v>545</v>
      </c>
      <c r="D13" s="62" t="s">
        <v>345</v>
      </c>
      <c r="E13" s="62" t="s">
        <v>376</v>
      </c>
      <c r="F13" s="204" t="s">
        <v>375</v>
      </c>
      <c r="G13" s="62"/>
      <c r="H13" s="62" t="s">
        <v>360</v>
      </c>
      <c r="I13" s="77">
        <v>5</v>
      </c>
      <c r="J13" s="77">
        <v>5</v>
      </c>
      <c r="K13" s="77">
        <v>4</v>
      </c>
      <c r="L13" s="77">
        <v>5</v>
      </c>
      <c r="M13" s="77">
        <v>4</v>
      </c>
      <c r="N13" s="77">
        <v>4</v>
      </c>
      <c r="O13" s="77">
        <v>4</v>
      </c>
      <c r="P13" s="77">
        <v>4</v>
      </c>
      <c r="Q13" s="123">
        <v>4.6000000000000005</v>
      </c>
      <c r="R13" s="120">
        <v>0.91999999999999993</v>
      </c>
      <c r="S13" s="65" t="str">
        <f t="shared" si="0"/>
        <v>Grade-A</v>
      </c>
      <c r="T13" s="118">
        <f>IFERROR(VLOOKUP(F13,Database!F:G,2,0),0)</f>
        <v>800</v>
      </c>
      <c r="U13" s="66">
        <v>1</v>
      </c>
      <c r="V13" s="125">
        <v>1.2369515797759347</v>
      </c>
      <c r="W13" s="122">
        <v>920</v>
      </c>
      <c r="X13" s="66">
        <v>1</v>
      </c>
      <c r="Y13" s="125">
        <v>1.2369515797759347</v>
      </c>
      <c r="Z13" s="122">
        <v>920</v>
      </c>
      <c r="AA13" s="66">
        <v>1</v>
      </c>
      <c r="AB13" s="125">
        <v>1.2369515797759347</v>
      </c>
      <c r="AC13" s="122">
        <v>920</v>
      </c>
      <c r="AD13" s="282">
        <v>1</v>
      </c>
      <c r="AE13" s="38">
        <f t="shared" si="2"/>
        <v>0.63447638212890567</v>
      </c>
      <c r="AF13" s="234">
        <f t="shared" si="3"/>
        <v>470</v>
      </c>
    </row>
    <row r="14" spans="1:32">
      <c r="A14" s="60">
        <f t="shared" si="1"/>
        <v>7</v>
      </c>
      <c r="B14" s="61">
        <v>17758</v>
      </c>
      <c r="C14" s="62" t="s">
        <v>546</v>
      </c>
      <c r="D14" s="62" t="s">
        <v>343</v>
      </c>
      <c r="E14" s="62" t="s">
        <v>370</v>
      </c>
      <c r="F14" s="36" t="s">
        <v>387</v>
      </c>
      <c r="G14" s="62"/>
      <c r="H14" s="62" t="s">
        <v>360</v>
      </c>
      <c r="I14" s="77">
        <v>5</v>
      </c>
      <c r="J14" s="77">
        <v>4</v>
      </c>
      <c r="K14" s="77">
        <v>4</v>
      </c>
      <c r="L14" s="77">
        <v>5</v>
      </c>
      <c r="M14" s="77">
        <v>5</v>
      </c>
      <c r="N14" s="77">
        <v>4</v>
      </c>
      <c r="O14" s="77">
        <v>4</v>
      </c>
      <c r="P14" s="77">
        <v>4</v>
      </c>
      <c r="Q14" s="123">
        <v>4.5</v>
      </c>
      <c r="R14" s="124">
        <v>0.89999999999999991</v>
      </c>
      <c r="S14" s="65" t="str">
        <f t="shared" si="0"/>
        <v>Grade-A</v>
      </c>
      <c r="T14" s="118">
        <f>IFERROR(VLOOKUP(F14,Database!F:G,2,0),0)</f>
        <v>800</v>
      </c>
      <c r="U14" s="66">
        <v>1</v>
      </c>
      <c r="V14" s="121">
        <v>1.2369515797759347</v>
      </c>
      <c r="W14" s="122">
        <v>900</v>
      </c>
      <c r="X14" s="66">
        <v>1</v>
      </c>
      <c r="Y14" s="121">
        <v>1.2369515797759347</v>
      </c>
      <c r="Z14" s="122">
        <v>900</v>
      </c>
      <c r="AA14" s="66">
        <v>1</v>
      </c>
      <c r="AB14" s="121">
        <v>1.2369515797759347</v>
      </c>
      <c r="AC14" s="122">
        <v>900</v>
      </c>
      <c r="AD14" s="282">
        <v>1</v>
      </c>
      <c r="AE14" s="38">
        <f t="shared" si="2"/>
        <v>0.63447638212890567</v>
      </c>
      <c r="AF14" s="234">
        <f t="shared" si="3"/>
        <v>460</v>
      </c>
    </row>
    <row r="15" spans="1:32" s="8" customFormat="1">
      <c r="A15" s="60">
        <f t="shared" si="1"/>
        <v>8</v>
      </c>
      <c r="B15" s="61">
        <v>17765</v>
      </c>
      <c r="C15" s="62" t="s">
        <v>441</v>
      </c>
      <c r="D15" s="62" t="s">
        <v>343</v>
      </c>
      <c r="E15" s="62" t="s">
        <v>370</v>
      </c>
      <c r="F15" s="36" t="s">
        <v>370</v>
      </c>
      <c r="G15" s="62"/>
      <c r="H15" s="62" t="s">
        <v>360</v>
      </c>
      <c r="I15" s="77">
        <v>5</v>
      </c>
      <c r="J15" s="77">
        <v>5</v>
      </c>
      <c r="K15" s="77">
        <v>5</v>
      </c>
      <c r="L15" s="77">
        <v>5</v>
      </c>
      <c r="M15" s="77">
        <v>4</v>
      </c>
      <c r="N15" s="77">
        <v>4</v>
      </c>
      <c r="O15" s="77">
        <v>4</v>
      </c>
      <c r="P15" s="77">
        <v>4</v>
      </c>
      <c r="Q15" s="123">
        <v>4.7</v>
      </c>
      <c r="R15" s="120">
        <v>0.94</v>
      </c>
      <c r="S15" s="65" t="str">
        <f t="shared" si="0"/>
        <v>Grade-A</v>
      </c>
      <c r="T15" s="118">
        <f>IFERROR(VLOOKUP(F15,Database!F:G,2,0),0)</f>
        <v>600</v>
      </c>
      <c r="U15" s="66">
        <v>1.1000000000000001</v>
      </c>
      <c r="V15" s="121">
        <v>1.2369515797759347</v>
      </c>
      <c r="W15" s="122">
        <v>740</v>
      </c>
      <c r="X15" s="66">
        <v>1</v>
      </c>
      <c r="Y15" s="121">
        <v>1.2369515797759347</v>
      </c>
      <c r="Z15" s="122">
        <v>670</v>
      </c>
      <c r="AA15" s="66">
        <v>1</v>
      </c>
      <c r="AB15" s="121">
        <v>1.2369515797759347</v>
      </c>
      <c r="AC15" s="122">
        <v>670</v>
      </c>
      <c r="AD15" s="200">
        <v>1.3</v>
      </c>
      <c r="AE15" s="38">
        <f t="shared" si="2"/>
        <v>0.63447638212890567</v>
      </c>
      <c r="AF15" s="234">
        <f t="shared" si="3"/>
        <v>470</v>
      </c>
    </row>
    <row r="16" spans="1:32" s="8" customFormat="1">
      <c r="A16" s="60">
        <f t="shared" si="1"/>
        <v>9</v>
      </c>
      <c r="B16" s="61">
        <v>17501</v>
      </c>
      <c r="C16" s="62" t="s">
        <v>547</v>
      </c>
      <c r="D16" s="62" t="s">
        <v>344</v>
      </c>
      <c r="E16" s="62" t="s">
        <v>372</v>
      </c>
      <c r="F16" s="36" t="s">
        <v>375</v>
      </c>
      <c r="G16" s="62"/>
      <c r="H16" s="62" t="s">
        <v>360</v>
      </c>
      <c r="I16" s="77">
        <v>5</v>
      </c>
      <c r="J16" s="77">
        <v>5</v>
      </c>
      <c r="K16" s="77">
        <v>4</v>
      </c>
      <c r="L16" s="77">
        <v>5</v>
      </c>
      <c r="M16" s="77">
        <v>4</v>
      </c>
      <c r="N16" s="77">
        <v>5</v>
      </c>
      <c r="O16" s="77">
        <v>4</v>
      </c>
      <c r="P16" s="77">
        <v>4</v>
      </c>
      <c r="Q16" s="123">
        <v>4.7</v>
      </c>
      <c r="R16" s="120">
        <v>0.94</v>
      </c>
      <c r="S16" s="65" t="str">
        <f t="shared" si="0"/>
        <v>Grade-A</v>
      </c>
      <c r="T16" s="118">
        <f>IFERROR(VLOOKUP(F16,Database!F:G,2,0),0)</f>
        <v>800</v>
      </c>
      <c r="U16" s="66">
        <v>1</v>
      </c>
      <c r="V16" s="121">
        <v>1.2369515797759347</v>
      </c>
      <c r="W16" s="122">
        <v>900</v>
      </c>
      <c r="X16" s="66">
        <v>1</v>
      </c>
      <c r="Y16" s="121">
        <v>1.2369515797759347</v>
      </c>
      <c r="Z16" s="122">
        <v>900</v>
      </c>
      <c r="AA16" s="200">
        <v>1.1000000000000001</v>
      </c>
      <c r="AB16" s="121">
        <v>1.2369515797759347</v>
      </c>
      <c r="AC16" s="122">
        <v>980</v>
      </c>
      <c r="AD16" s="282">
        <v>1</v>
      </c>
      <c r="AE16" s="38">
        <f t="shared" si="2"/>
        <v>0.63447638212890567</v>
      </c>
      <c r="AF16" s="234">
        <f t="shared" si="3"/>
        <v>480</v>
      </c>
    </row>
    <row r="17" spans="1:32">
      <c r="A17" s="60">
        <f t="shared" si="1"/>
        <v>10</v>
      </c>
      <c r="B17" s="69">
        <v>18238</v>
      </c>
      <c r="C17" s="70" t="s">
        <v>549</v>
      </c>
      <c r="D17" s="70" t="s">
        <v>344</v>
      </c>
      <c r="E17" s="70" t="s">
        <v>372</v>
      </c>
      <c r="F17" s="83" t="s">
        <v>372</v>
      </c>
      <c r="G17" s="70"/>
      <c r="H17" s="62" t="s">
        <v>360</v>
      </c>
      <c r="I17" s="71">
        <v>5</v>
      </c>
      <c r="J17" s="71">
        <v>4</v>
      </c>
      <c r="K17" s="71">
        <v>4</v>
      </c>
      <c r="L17" s="71">
        <v>5</v>
      </c>
      <c r="M17" s="71">
        <v>4</v>
      </c>
      <c r="N17" s="71">
        <v>4</v>
      </c>
      <c r="O17" s="71">
        <v>4</v>
      </c>
      <c r="P17" s="71">
        <v>5</v>
      </c>
      <c r="Q17" s="107">
        <v>4.4499999999999993</v>
      </c>
      <c r="R17" s="117">
        <v>0.8899999999999999</v>
      </c>
      <c r="S17" s="65" t="str">
        <f t="shared" si="0"/>
        <v>Grade-B</v>
      </c>
      <c r="T17" s="118">
        <f>IFERROR(VLOOKUP(F17,Database!F:G,2,0),0)</f>
        <v>800</v>
      </c>
      <c r="U17" s="66">
        <v>1.1000000000000001</v>
      </c>
      <c r="V17" s="121">
        <v>1.2369515797759347</v>
      </c>
      <c r="W17" s="119">
        <v>970</v>
      </c>
      <c r="X17" s="66">
        <v>0.97</v>
      </c>
      <c r="Y17" s="121">
        <v>1.2369515797759347</v>
      </c>
      <c r="Z17" s="119">
        <v>860</v>
      </c>
      <c r="AA17" s="200">
        <v>1.1000000000000001</v>
      </c>
      <c r="AB17" s="121">
        <v>1.2369515797759347</v>
      </c>
      <c r="AC17" s="119">
        <v>970</v>
      </c>
      <c r="AD17" s="282">
        <v>1</v>
      </c>
      <c r="AE17" s="38">
        <f t="shared" si="2"/>
        <v>0.63447638212890567</v>
      </c>
      <c r="AF17" s="234">
        <f t="shared" si="3"/>
        <v>460</v>
      </c>
    </row>
    <row r="18" spans="1:32" s="8" customFormat="1">
      <c r="A18" s="60">
        <f t="shared" si="1"/>
        <v>11</v>
      </c>
      <c r="B18" s="61">
        <v>17882</v>
      </c>
      <c r="C18" s="62" t="s">
        <v>550</v>
      </c>
      <c r="D18" s="62" t="s">
        <v>344</v>
      </c>
      <c r="E18" s="62" t="s">
        <v>372</v>
      </c>
      <c r="F18" s="36" t="s">
        <v>372</v>
      </c>
      <c r="G18" s="62"/>
      <c r="H18" s="62" t="s">
        <v>360</v>
      </c>
      <c r="I18" s="77">
        <v>5</v>
      </c>
      <c r="J18" s="77">
        <v>4</v>
      </c>
      <c r="K18" s="77">
        <v>4</v>
      </c>
      <c r="L18" s="77">
        <v>5</v>
      </c>
      <c r="M18" s="77">
        <v>4</v>
      </c>
      <c r="N18" s="77">
        <v>4</v>
      </c>
      <c r="O18" s="77">
        <v>4</v>
      </c>
      <c r="P18" s="77">
        <v>5</v>
      </c>
      <c r="Q18" s="123">
        <v>4.4499999999999993</v>
      </c>
      <c r="R18" s="120">
        <v>0.8899999999999999</v>
      </c>
      <c r="S18" s="65" t="str">
        <f t="shared" si="0"/>
        <v>Grade-B</v>
      </c>
      <c r="T18" s="118">
        <f>IFERROR(VLOOKUP(F18,Database!F:G,2,0),0)</f>
        <v>800</v>
      </c>
      <c r="U18" s="66">
        <v>1</v>
      </c>
      <c r="V18" s="125">
        <v>1.2369515797759347</v>
      </c>
      <c r="W18" s="122">
        <v>910</v>
      </c>
      <c r="X18" s="66">
        <v>1</v>
      </c>
      <c r="Y18" s="125">
        <v>1.2369515797759347</v>
      </c>
      <c r="Z18" s="122">
        <v>910</v>
      </c>
      <c r="AA18" s="66">
        <v>0.55000000000000004</v>
      </c>
      <c r="AB18" s="125">
        <v>1.2369515797759347</v>
      </c>
      <c r="AC18" s="122">
        <v>500</v>
      </c>
      <c r="AD18" s="282">
        <v>1</v>
      </c>
      <c r="AE18" s="38">
        <f t="shared" si="2"/>
        <v>0.63447638212890567</v>
      </c>
      <c r="AF18" s="234">
        <f t="shared" si="3"/>
        <v>460</v>
      </c>
    </row>
    <row r="19" spans="1:32">
      <c r="A19" s="60">
        <f t="shared" si="1"/>
        <v>12</v>
      </c>
      <c r="B19" s="61">
        <v>1982</v>
      </c>
      <c r="C19" s="62" t="s">
        <v>551</v>
      </c>
      <c r="D19" s="62" t="s">
        <v>343</v>
      </c>
      <c r="E19" s="62" t="s">
        <v>370</v>
      </c>
      <c r="F19" s="36" t="s">
        <v>370</v>
      </c>
      <c r="G19" s="62"/>
      <c r="H19" s="62" t="s">
        <v>360</v>
      </c>
      <c r="I19" s="77">
        <v>5</v>
      </c>
      <c r="J19" s="77">
        <v>4</v>
      </c>
      <c r="K19" s="77">
        <v>5</v>
      </c>
      <c r="L19" s="77">
        <v>5</v>
      </c>
      <c r="M19" s="77">
        <v>4</v>
      </c>
      <c r="N19" s="77">
        <v>4</v>
      </c>
      <c r="O19" s="77">
        <v>4</v>
      </c>
      <c r="P19" s="77">
        <v>4</v>
      </c>
      <c r="Q19" s="123">
        <v>4.5</v>
      </c>
      <c r="R19" s="124">
        <v>0.89999999999999991</v>
      </c>
      <c r="S19" s="65" t="str">
        <f t="shared" si="0"/>
        <v>Grade-A</v>
      </c>
      <c r="T19" s="118">
        <f>IFERROR(VLOOKUP(F19,Database!F:G,2,0),0)</f>
        <v>600</v>
      </c>
      <c r="U19" s="66">
        <v>1</v>
      </c>
      <c r="V19" s="121">
        <v>1.2369515797759347</v>
      </c>
      <c r="W19" s="122">
        <v>630</v>
      </c>
      <c r="X19" s="66">
        <v>1</v>
      </c>
      <c r="Y19" s="121">
        <v>1.2369515797759347</v>
      </c>
      <c r="Z19" s="122">
        <v>630</v>
      </c>
      <c r="AA19" s="66">
        <v>1</v>
      </c>
      <c r="AB19" s="121">
        <v>1.2369515797759347</v>
      </c>
      <c r="AC19" s="122">
        <v>630</v>
      </c>
      <c r="AD19" s="200">
        <v>1.1000000000000001</v>
      </c>
      <c r="AE19" s="38">
        <f t="shared" si="2"/>
        <v>0.63447638212890567</v>
      </c>
      <c r="AF19" s="234">
        <f t="shared" si="3"/>
        <v>380</v>
      </c>
    </row>
    <row r="20" spans="1:32" s="8" customFormat="1">
      <c r="A20" s="60">
        <f t="shared" si="1"/>
        <v>13</v>
      </c>
      <c r="B20" s="61">
        <v>4700</v>
      </c>
      <c r="C20" s="62" t="s">
        <v>552</v>
      </c>
      <c r="D20" s="62" t="s">
        <v>348</v>
      </c>
      <c r="E20" s="62" t="s">
        <v>366</v>
      </c>
      <c r="F20" s="36" t="s">
        <v>366</v>
      </c>
      <c r="G20" s="62"/>
      <c r="H20" s="62" t="s">
        <v>360</v>
      </c>
      <c r="I20" s="77">
        <v>5</v>
      </c>
      <c r="J20" s="77">
        <v>4</v>
      </c>
      <c r="K20" s="77">
        <v>4</v>
      </c>
      <c r="L20" s="77">
        <v>5</v>
      </c>
      <c r="M20" s="77">
        <v>5</v>
      </c>
      <c r="N20" s="77">
        <v>5</v>
      </c>
      <c r="O20" s="77">
        <v>4</v>
      </c>
      <c r="P20" s="77">
        <v>4</v>
      </c>
      <c r="Q20" s="123">
        <v>4.5999999999999996</v>
      </c>
      <c r="R20" s="120">
        <v>0.91999999999999993</v>
      </c>
      <c r="S20" s="65" t="str">
        <f t="shared" si="0"/>
        <v>Grade-A</v>
      </c>
      <c r="T20" s="118">
        <f>IFERROR(VLOOKUP(F20,Database!F:G,2,0),0)</f>
        <v>1300</v>
      </c>
      <c r="U20" s="66">
        <v>1</v>
      </c>
      <c r="V20" s="121">
        <v>1.2369515797759347</v>
      </c>
      <c r="W20" s="122">
        <v>1320</v>
      </c>
      <c r="X20" s="66">
        <v>1</v>
      </c>
      <c r="Y20" s="121">
        <v>1.2369515797759347</v>
      </c>
      <c r="Z20" s="122">
        <v>1320</v>
      </c>
      <c r="AA20" s="66">
        <v>1</v>
      </c>
      <c r="AB20" s="121">
        <v>1.2369515797759347</v>
      </c>
      <c r="AC20" s="122">
        <v>1320</v>
      </c>
      <c r="AD20" s="282">
        <v>1</v>
      </c>
      <c r="AE20" s="38">
        <f t="shared" si="2"/>
        <v>0.63447638212890567</v>
      </c>
      <c r="AF20" s="234">
        <f t="shared" si="3"/>
        <v>760</v>
      </c>
    </row>
    <row r="21" spans="1:32">
      <c r="A21" s="60">
        <f t="shared" si="1"/>
        <v>14</v>
      </c>
      <c r="B21" s="61">
        <v>674</v>
      </c>
      <c r="C21" s="62" t="s">
        <v>553</v>
      </c>
      <c r="D21" s="62" t="s">
        <v>349</v>
      </c>
      <c r="E21" s="62" t="s">
        <v>375</v>
      </c>
      <c r="F21" s="36" t="s">
        <v>375</v>
      </c>
      <c r="G21" s="62"/>
      <c r="H21" s="62" t="s">
        <v>360</v>
      </c>
      <c r="I21" s="77">
        <v>5</v>
      </c>
      <c r="J21" s="77">
        <v>4</v>
      </c>
      <c r="K21" s="77">
        <v>5</v>
      </c>
      <c r="L21" s="77">
        <v>5</v>
      </c>
      <c r="M21" s="77">
        <v>4</v>
      </c>
      <c r="N21" s="77">
        <v>5</v>
      </c>
      <c r="O21" s="77">
        <v>4</v>
      </c>
      <c r="P21" s="77">
        <v>4</v>
      </c>
      <c r="Q21" s="123">
        <v>4.5999999999999996</v>
      </c>
      <c r="R21" s="124">
        <v>0.91999999999999993</v>
      </c>
      <c r="S21" s="65" t="str">
        <f t="shared" si="0"/>
        <v>Grade-A</v>
      </c>
      <c r="T21" s="118">
        <f>IFERROR(VLOOKUP(F21,Database!F:G,2,0),0)</f>
        <v>800</v>
      </c>
      <c r="U21" s="66">
        <v>1</v>
      </c>
      <c r="V21" s="121">
        <v>1.2369515797759347</v>
      </c>
      <c r="W21" s="122">
        <v>960</v>
      </c>
      <c r="X21" s="66">
        <v>1</v>
      </c>
      <c r="Y21" s="121">
        <v>1.2369515797759347</v>
      </c>
      <c r="Z21" s="122">
        <v>960</v>
      </c>
      <c r="AA21" s="200">
        <v>1.2</v>
      </c>
      <c r="AB21" s="121">
        <v>1.2369515797759347</v>
      </c>
      <c r="AC21" s="122">
        <v>1160</v>
      </c>
      <c r="AD21" s="282">
        <v>1</v>
      </c>
      <c r="AE21" s="38">
        <f t="shared" si="2"/>
        <v>0.63447638212890567</v>
      </c>
      <c r="AF21" s="234">
        <f t="shared" si="3"/>
        <v>470</v>
      </c>
    </row>
    <row r="22" spans="1:32">
      <c r="A22" s="60">
        <f t="shared" si="1"/>
        <v>15</v>
      </c>
      <c r="B22" s="61">
        <v>15683</v>
      </c>
      <c r="C22" s="62" t="s">
        <v>554</v>
      </c>
      <c r="D22" s="62" t="s">
        <v>347</v>
      </c>
      <c r="E22" s="62" t="s">
        <v>375</v>
      </c>
      <c r="F22" s="36" t="s">
        <v>375</v>
      </c>
      <c r="G22" s="62"/>
      <c r="H22" s="62" t="s">
        <v>360</v>
      </c>
      <c r="I22" s="77">
        <v>5</v>
      </c>
      <c r="J22" s="77">
        <v>5</v>
      </c>
      <c r="K22" s="77">
        <v>4</v>
      </c>
      <c r="L22" s="77">
        <v>5</v>
      </c>
      <c r="M22" s="77">
        <v>4</v>
      </c>
      <c r="N22" s="77">
        <v>4</v>
      </c>
      <c r="O22" s="77">
        <v>4</v>
      </c>
      <c r="P22" s="77">
        <v>4</v>
      </c>
      <c r="Q22" s="123">
        <v>4.6000000000000005</v>
      </c>
      <c r="R22" s="120">
        <v>0.91999999999999993</v>
      </c>
      <c r="S22" s="65" t="str">
        <f t="shared" si="0"/>
        <v>Grade-A</v>
      </c>
      <c r="T22" s="118">
        <f>IFERROR(VLOOKUP(F22,Database!F:G,2,0),0)</f>
        <v>800</v>
      </c>
      <c r="U22" s="66">
        <v>1</v>
      </c>
      <c r="V22" s="125">
        <v>1.2369515797759347</v>
      </c>
      <c r="W22" s="122">
        <v>940</v>
      </c>
      <c r="X22" s="66">
        <v>1</v>
      </c>
      <c r="Y22" s="125">
        <v>1.2369515797759347</v>
      </c>
      <c r="Z22" s="122">
        <v>940</v>
      </c>
      <c r="AA22" s="66">
        <v>1</v>
      </c>
      <c r="AB22" s="125">
        <v>1.2369515797759347</v>
      </c>
      <c r="AC22" s="122">
        <v>940</v>
      </c>
      <c r="AD22" s="282">
        <v>1</v>
      </c>
      <c r="AE22" s="38">
        <f t="shared" si="2"/>
        <v>0.63447638212890567</v>
      </c>
      <c r="AF22" s="234">
        <f t="shared" si="3"/>
        <v>470</v>
      </c>
    </row>
    <row r="23" spans="1:32">
      <c r="A23" s="60">
        <f t="shared" si="1"/>
        <v>16</v>
      </c>
      <c r="B23" s="61">
        <v>20337</v>
      </c>
      <c r="C23" s="62" t="s">
        <v>555</v>
      </c>
      <c r="D23" s="62" t="s">
        <v>349</v>
      </c>
      <c r="E23" s="62" t="s">
        <v>375</v>
      </c>
      <c r="F23" s="36" t="s">
        <v>376</v>
      </c>
      <c r="G23" s="62"/>
      <c r="H23" s="62" t="s">
        <v>360</v>
      </c>
      <c r="I23" s="77">
        <v>5</v>
      </c>
      <c r="J23" s="77">
        <v>4</v>
      </c>
      <c r="K23" s="77">
        <v>5</v>
      </c>
      <c r="L23" s="77">
        <v>5</v>
      </c>
      <c r="M23" s="77">
        <v>4</v>
      </c>
      <c r="N23" s="77">
        <v>4</v>
      </c>
      <c r="O23" s="77">
        <v>4</v>
      </c>
      <c r="P23" s="77">
        <v>5</v>
      </c>
      <c r="Q23" s="123">
        <v>4.55</v>
      </c>
      <c r="R23" s="120">
        <v>0.90999999999999992</v>
      </c>
      <c r="S23" s="65" t="str">
        <f t="shared" si="0"/>
        <v>Grade-A</v>
      </c>
      <c r="T23" s="118">
        <f>IFERROR(VLOOKUP(F23,Database!F:G,2,0),0)</f>
        <v>700</v>
      </c>
      <c r="U23" s="66">
        <v>1</v>
      </c>
      <c r="V23" s="125">
        <v>1.2369515797759347</v>
      </c>
      <c r="W23" s="122">
        <v>800</v>
      </c>
      <c r="X23" s="66">
        <v>1</v>
      </c>
      <c r="Y23" s="125">
        <v>1.2369515797759347</v>
      </c>
      <c r="Z23" s="122">
        <v>800</v>
      </c>
      <c r="AA23" s="66">
        <v>1</v>
      </c>
      <c r="AB23" s="125">
        <v>1.2369515797759347</v>
      </c>
      <c r="AC23" s="122">
        <v>800</v>
      </c>
      <c r="AD23" s="282">
        <v>1</v>
      </c>
      <c r="AE23" s="38">
        <f t="shared" si="2"/>
        <v>0.63447638212890567</v>
      </c>
      <c r="AF23" s="234">
        <f t="shared" si="3"/>
        <v>410</v>
      </c>
    </row>
    <row r="24" spans="1:32">
      <c r="A24" s="60">
        <f t="shared" si="1"/>
        <v>17</v>
      </c>
      <c r="B24" s="61">
        <v>19840</v>
      </c>
      <c r="C24" s="62" t="s">
        <v>556</v>
      </c>
      <c r="D24" s="62" t="s">
        <v>343</v>
      </c>
      <c r="E24" s="62" t="s">
        <v>370</v>
      </c>
      <c r="F24" s="36" t="s">
        <v>370</v>
      </c>
      <c r="G24" s="62"/>
      <c r="H24" s="62" t="s">
        <v>360</v>
      </c>
      <c r="I24" s="77">
        <v>4</v>
      </c>
      <c r="J24" s="77">
        <v>4</v>
      </c>
      <c r="K24" s="77">
        <v>5</v>
      </c>
      <c r="L24" s="77">
        <v>5</v>
      </c>
      <c r="M24" s="77">
        <v>5</v>
      </c>
      <c r="N24" s="77">
        <v>4</v>
      </c>
      <c r="O24" s="77">
        <v>5</v>
      </c>
      <c r="P24" s="77">
        <v>5</v>
      </c>
      <c r="Q24" s="123">
        <v>4.4000000000000004</v>
      </c>
      <c r="R24" s="124">
        <v>0.88</v>
      </c>
      <c r="S24" s="65" t="str">
        <f t="shared" si="0"/>
        <v>Grade-B</v>
      </c>
      <c r="T24" s="118">
        <f>IFERROR(VLOOKUP(F24,Database!F:G,2,0),0)</f>
        <v>600</v>
      </c>
      <c r="U24" s="66">
        <v>1</v>
      </c>
      <c r="V24" s="121">
        <v>1.2369515797759347</v>
      </c>
      <c r="W24" s="122">
        <v>680</v>
      </c>
      <c r="X24" s="66">
        <v>1</v>
      </c>
      <c r="Y24" s="121">
        <v>1.2369515797759347</v>
      </c>
      <c r="Z24" s="122">
        <v>680</v>
      </c>
      <c r="AA24" s="66">
        <v>1</v>
      </c>
      <c r="AB24" s="121">
        <v>1.2369515797759347</v>
      </c>
      <c r="AC24" s="122">
        <v>680</v>
      </c>
      <c r="AD24" s="200">
        <v>1.1000000000000001</v>
      </c>
      <c r="AE24" s="38">
        <f t="shared" si="2"/>
        <v>0.63447638212890567</v>
      </c>
      <c r="AF24" s="234">
        <f t="shared" si="3"/>
        <v>370</v>
      </c>
    </row>
    <row r="25" spans="1:32" s="8" customFormat="1">
      <c r="A25" s="60">
        <f t="shared" si="1"/>
        <v>18</v>
      </c>
      <c r="B25" s="61">
        <v>15827</v>
      </c>
      <c r="C25" s="62" t="s">
        <v>557</v>
      </c>
      <c r="D25" s="62" t="s">
        <v>343</v>
      </c>
      <c r="E25" s="62" t="s">
        <v>370</v>
      </c>
      <c r="F25" s="36" t="s">
        <v>370</v>
      </c>
      <c r="G25" s="62"/>
      <c r="H25" s="62" t="s">
        <v>360</v>
      </c>
      <c r="I25" s="77">
        <v>5</v>
      </c>
      <c r="J25" s="77">
        <v>5</v>
      </c>
      <c r="K25" s="77">
        <v>5</v>
      </c>
      <c r="L25" s="77">
        <v>5</v>
      </c>
      <c r="M25" s="77">
        <v>5</v>
      </c>
      <c r="N25" s="77">
        <v>4</v>
      </c>
      <c r="O25" s="77">
        <v>4</v>
      </c>
      <c r="P25" s="77">
        <v>4</v>
      </c>
      <c r="Q25" s="123">
        <v>4.8000000000000007</v>
      </c>
      <c r="R25" s="120">
        <v>0.96</v>
      </c>
      <c r="S25" s="65" t="str">
        <f t="shared" si="0"/>
        <v>Grade-A</v>
      </c>
      <c r="T25" s="257">
        <f>IFERROR(VLOOKUP(F25,Database!F:G,2,0),0)</f>
        <v>600</v>
      </c>
      <c r="U25" s="66">
        <v>1.1000000000000001</v>
      </c>
      <c r="V25" s="125">
        <v>1.2369515797759347</v>
      </c>
      <c r="W25" s="122">
        <v>790</v>
      </c>
      <c r="X25" s="66">
        <v>1</v>
      </c>
      <c r="Y25" s="125">
        <v>1.2369515797759347</v>
      </c>
      <c r="Z25" s="122">
        <v>720</v>
      </c>
      <c r="AA25" s="200">
        <v>1.2</v>
      </c>
      <c r="AB25" s="125">
        <v>1.2369515797759347</v>
      </c>
      <c r="AC25" s="122">
        <v>790</v>
      </c>
      <c r="AD25" s="282">
        <v>1</v>
      </c>
      <c r="AE25" s="38">
        <f t="shared" si="2"/>
        <v>0.63447638212890567</v>
      </c>
      <c r="AF25" s="235">
        <f t="shared" si="3"/>
        <v>370</v>
      </c>
    </row>
    <row r="26" spans="1:32" s="8" customFormat="1">
      <c r="A26" s="60">
        <f t="shared" si="1"/>
        <v>19</v>
      </c>
      <c r="B26" s="61">
        <v>17767</v>
      </c>
      <c r="C26" s="62" t="s">
        <v>558</v>
      </c>
      <c r="D26" s="62" t="s">
        <v>343</v>
      </c>
      <c r="E26" s="62" t="s">
        <v>370</v>
      </c>
      <c r="F26" s="36" t="s">
        <v>370</v>
      </c>
      <c r="G26" s="62"/>
      <c r="H26" s="62" t="s">
        <v>360</v>
      </c>
      <c r="I26" s="77">
        <v>5</v>
      </c>
      <c r="J26" s="77">
        <v>5</v>
      </c>
      <c r="K26" s="77">
        <v>4</v>
      </c>
      <c r="L26" s="77">
        <v>4</v>
      </c>
      <c r="M26" s="77">
        <v>4</v>
      </c>
      <c r="N26" s="77">
        <v>4</v>
      </c>
      <c r="O26" s="77">
        <v>4</v>
      </c>
      <c r="P26" s="77">
        <v>3</v>
      </c>
      <c r="Q26" s="123">
        <v>4.45</v>
      </c>
      <c r="R26" s="120">
        <v>0.8899999999999999</v>
      </c>
      <c r="S26" s="65" t="str">
        <f t="shared" si="0"/>
        <v>Grade-B</v>
      </c>
      <c r="T26" s="257">
        <f>IFERROR(VLOOKUP(F26,Database!F:G,2,0),0)</f>
        <v>600</v>
      </c>
      <c r="U26" s="66">
        <v>0.97</v>
      </c>
      <c r="V26" s="125">
        <v>1.2369515797759347</v>
      </c>
      <c r="W26" s="122">
        <v>650</v>
      </c>
      <c r="X26" s="66">
        <v>1</v>
      </c>
      <c r="Y26" s="125">
        <v>1.2369515797759347</v>
      </c>
      <c r="Z26" s="122">
        <v>670</v>
      </c>
      <c r="AA26" s="66">
        <v>1</v>
      </c>
      <c r="AB26" s="125">
        <v>1.2369515797759347</v>
      </c>
      <c r="AC26" s="122">
        <v>670</v>
      </c>
      <c r="AD26" s="200">
        <v>1.1000000000000001</v>
      </c>
      <c r="AE26" s="38">
        <f t="shared" si="2"/>
        <v>0.63447638212890567</v>
      </c>
      <c r="AF26" s="235">
        <f t="shared" si="3"/>
        <v>380</v>
      </c>
    </row>
    <row r="27" spans="1:32" s="8" customFormat="1">
      <c r="A27" s="60">
        <f t="shared" si="1"/>
        <v>20</v>
      </c>
      <c r="B27" s="61">
        <v>3868</v>
      </c>
      <c r="C27" s="62" t="s">
        <v>559</v>
      </c>
      <c r="D27" s="62" t="s">
        <v>343</v>
      </c>
      <c r="E27" s="62" t="s">
        <v>370</v>
      </c>
      <c r="F27" s="36" t="s">
        <v>370</v>
      </c>
      <c r="G27" s="62"/>
      <c r="H27" s="62" t="s">
        <v>360</v>
      </c>
      <c r="I27" s="77">
        <v>5</v>
      </c>
      <c r="J27" s="77">
        <v>4</v>
      </c>
      <c r="K27" s="77">
        <v>5</v>
      </c>
      <c r="L27" s="77">
        <v>5</v>
      </c>
      <c r="M27" s="77">
        <v>5</v>
      </c>
      <c r="N27" s="77">
        <v>4</v>
      </c>
      <c r="O27" s="77">
        <v>4</v>
      </c>
      <c r="P27" s="77">
        <v>5</v>
      </c>
      <c r="Q27" s="123">
        <v>4.6500000000000004</v>
      </c>
      <c r="R27" s="120">
        <v>0.92999999999999994</v>
      </c>
      <c r="S27" s="65" t="str">
        <f t="shared" si="0"/>
        <v>Grade-A</v>
      </c>
      <c r="T27" s="257">
        <f>IFERROR(VLOOKUP(F27,Database!F:G,2,0),0)</f>
        <v>600</v>
      </c>
      <c r="U27" s="66">
        <v>0.5</v>
      </c>
      <c r="V27" s="125">
        <v>1.2369515797759347</v>
      </c>
      <c r="W27" s="122">
        <v>350</v>
      </c>
      <c r="X27" s="66">
        <v>1</v>
      </c>
      <c r="Y27" s="125">
        <v>1.2369515797759347</v>
      </c>
      <c r="Z27" s="122">
        <v>700</v>
      </c>
      <c r="AA27" s="66">
        <v>1</v>
      </c>
      <c r="AB27" s="125">
        <v>1.2369515797759347</v>
      </c>
      <c r="AC27" s="122">
        <v>700</v>
      </c>
      <c r="AD27" s="200">
        <v>1.2</v>
      </c>
      <c r="AE27" s="38">
        <f t="shared" si="2"/>
        <v>0.63447638212890567</v>
      </c>
      <c r="AF27" s="235">
        <f t="shared" si="3"/>
        <v>430</v>
      </c>
    </row>
    <row r="28" spans="1:32" s="8" customFormat="1" ht="14.25" customHeight="1">
      <c r="A28" s="60">
        <f t="shared" si="1"/>
        <v>21</v>
      </c>
      <c r="B28" s="61">
        <v>147</v>
      </c>
      <c r="C28" s="62" t="s">
        <v>560</v>
      </c>
      <c r="D28" s="62" t="s">
        <v>347</v>
      </c>
      <c r="E28" s="62" t="s">
        <v>375</v>
      </c>
      <c r="F28" s="36" t="s">
        <v>375</v>
      </c>
      <c r="G28" s="62"/>
      <c r="H28" s="62" t="s">
        <v>360</v>
      </c>
      <c r="I28" s="77">
        <v>5</v>
      </c>
      <c r="J28" s="77">
        <v>4</v>
      </c>
      <c r="K28" s="77">
        <v>4</v>
      </c>
      <c r="L28" s="77">
        <v>5</v>
      </c>
      <c r="M28" s="77">
        <v>5</v>
      </c>
      <c r="N28" s="77">
        <v>4</v>
      </c>
      <c r="O28" s="77">
        <v>4</v>
      </c>
      <c r="P28" s="77">
        <v>5</v>
      </c>
      <c r="Q28" s="123">
        <v>4.55</v>
      </c>
      <c r="R28" s="120">
        <v>0.90999999999999992</v>
      </c>
      <c r="S28" s="65" t="str">
        <f t="shared" si="0"/>
        <v>Grade-A</v>
      </c>
      <c r="T28" s="257">
        <f>IFERROR(VLOOKUP(F28,Database!F:G,2,0),0)</f>
        <v>800</v>
      </c>
      <c r="U28" s="66">
        <v>1</v>
      </c>
      <c r="V28" s="125">
        <v>1.2369515797759347</v>
      </c>
      <c r="W28" s="122">
        <v>960</v>
      </c>
      <c r="X28" s="66">
        <v>1</v>
      </c>
      <c r="Y28" s="125">
        <v>1.2369515797759347</v>
      </c>
      <c r="Z28" s="122">
        <v>960</v>
      </c>
      <c r="AA28" s="66">
        <v>1</v>
      </c>
      <c r="AB28" s="125">
        <v>1.2369515797759347</v>
      </c>
      <c r="AC28" s="122">
        <v>960</v>
      </c>
      <c r="AD28" s="282">
        <v>1</v>
      </c>
      <c r="AE28" s="38">
        <f t="shared" si="2"/>
        <v>0.63447638212890567</v>
      </c>
      <c r="AF28" s="235">
        <f t="shared" si="3"/>
        <v>470</v>
      </c>
    </row>
    <row r="29" spans="1:32">
      <c r="A29" s="60">
        <f t="shared" si="1"/>
        <v>22</v>
      </c>
      <c r="B29" s="61">
        <v>9053</v>
      </c>
      <c r="C29" s="62" t="s">
        <v>561</v>
      </c>
      <c r="D29" s="62" t="s">
        <v>350</v>
      </c>
      <c r="E29" s="62" t="s">
        <v>368</v>
      </c>
      <c r="F29" s="36" t="s">
        <v>368</v>
      </c>
      <c r="G29" s="62"/>
      <c r="H29" s="62" t="s">
        <v>360</v>
      </c>
      <c r="I29" s="77">
        <v>5</v>
      </c>
      <c r="J29" s="77">
        <v>4</v>
      </c>
      <c r="K29" s="77">
        <v>5</v>
      </c>
      <c r="L29" s="77">
        <v>4</v>
      </c>
      <c r="M29" s="77">
        <v>5</v>
      </c>
      <c r="N29" s="77">
        <v>4</v>
      </c>
      <c r="O29" s="77">
        <v>4</v>
      </c>
      <c r="P29" s="77">
        <v>4</v>
      </c>
      <c r="Q29" s="123">
        <v>4.5</v>
      </c>
      <c r="R29" s="124">
        <v>0.89999999999999991</v>
      </c>
      <c r="S29" s="65" t="str">
        <f t="shared" si="0"/>
        <v>Grade-A</v>
      </c>
      <c r="T29" s="118">
        <f>IFERROR(VLOOKUP(F29,Database!F:G,2,0),0)</f>
        <v>850</v>
      </c>
      <c r="U29" s="66">
        <v>1</v>
      </c>
      <c r="V29" s="121">
        <v>1.2369515797759347</v>
      </c>
      <c r="W29" s="122">
        <v>990</v>
      </c>
      <c r="X29" s="66">
        <v>1</v>
      </c>
      <c r="Y29" s="121">
        <v>1.2369515797759347</v>
      </c>
      <c r="Z29" s="122">
        <v>990</v>
      </c>
      <c r="AA29" s="66">
        <v>0.94</v>
      </c>
      <c r="AB29" s="121">
        <v>1.2369515797759347</v>
      </c>
      <c r="AC29" s="122">
        <v>930</v>
      </c>
      <c r="AD29" s="282">
        <v>1</v>
      </c>
      <c r="AE29" s="38">
        <f t="shared" si="2"/>
        <v>0.63447638212890567</v>
      </c>
      <c r="AF29" s="234">
        <f t="shared" si="3"/>
        <v>490</v>
      </c>
    </row>
    <row r="30" spans="1:32">
      <c r="A30" s="60">
        <f t="shared" si="1"/>
        <v>23</v>
      </c>
      <c r="B30" s="290">
        <v>7558</v>
      </c>
      <c r="C30" s="291" t="s">
        <v>637</v>
      </c>
      <c r="D30" s="291"/>
      <c r="E30" s="291"/>
      <c r="F30" s="250" t="s">
        <v>376</v>
      </c>
      <c r="G30" s="291"/>
      <c r="H30" s="291" t="s">
        <v>778</v>
      </c>
      <c r="I30" s="323">
        <v>4</v>
      </c>
      <c r="J30" s="323">
        <v>5</v>
      </c>
      <c r="K30" s="323">
        <v>4</v>
      </c>
      <c r="L30" s="323">
        <v>5</v>
      </c>
      <c r="M30" s="323">
        <v>5</v>
      </c>
      <c r="N30" s="323">
        <v>4</v>
      </c>
      <c r="O30" s="323">
        <v>4</v>
      </c>
      <c r="P30" s="323">
        <v>5</v>
      </c>
      <c r="Q30" s="295">
        <v>4.45</v>
      </c>
      <c r="R30" s="328">
        <v>0.89</v>
      </c>
      <c r="S30" s="294" t="str">
        <f t="shared" si="0"/>
        <v>Grade-B</v>
      </c>
      <c r="T30" s="329">
        <f>IFERROR(VLOOKUP(F30,Database!F:G,2,0),0)</f>
        <v>700</v>
      </c>
      <c r="U30" s="296">
        <v>1</v>
      </c>
      <c r="V30" s="330">
        <v>1.2369515797759347</v>
      </c>
      <c r="W30" s="331">
        <v>720</v>
      </c>
      <c r="X30" s="296">
        <v>1</v>
      </c>
      <c r="Y30" s="330">
        <v>1.2369515797759347</v>
      </c>
      <c r="Z30" s="331">
        <v>720</v>
      </c>
      <c r="AA30" s="332">
        <v>1.1000000000000001</v>
      </c>
      <c r="AB30" s="330">
        <v>1.2369515797759347</v>
      </c>
      <c r="AC30" s="331">
        <v>790</v>
      </c>
      <c r="AD30" s="333">
        <v>0.06</v>
      </c>
      <c r="AE30" s="325">
        <f t="shared" si="2"/>
        <v>0.63447638212890567</v>
      </c>
      <c r="AF30" s="327">
        <f t="shared" si="3"/>
        <v>30</v>
      </c>
    </row>
    <row r="31" spans="1:32">
      <c r="A31" s="60">
        <f t="shared" si="1"/>
        <v>24</v>
      </c>
      <c r="B31" s="61">
        <v>5856</v>
      </c>
      <c r="C31" s="62" t="s">
        <v>638</v>
      </c>
      <c r="D31" s="62"/>
      <c r="E31" s="62"/>
      <c r="F31" s="36" t="s">
        <v>376</v>
      </c>
      <c r="G31" s="62"/>
      <c r="H31" s="62" t="s">
        <v>360</v>
      </c>
      <c r="I31" s="77">
        <v>4</v>
      </c>
      <c r="J31" s="77">
        <v>5</v>
      </c>
      <c r="K31" s="77">
        <v>5</v>
      </c>
      <c r="L31" s="77">
        <v>5</v>
      </c>
      <c r="M31" s="77">
        <v>4</v>
      </c>
      <c r="N31" s="77">
        <v>4</v>
      </c>
      <c r="O31" s="77">
        <v>5</v>
      </c>
      <c r="P31" s="77">
        <v>4</v>
      </c>
      <c r="Q31" s="123">
        <v>4.45</v>
      </c>
      <c r="R31" s="120">
        <v>0.89</v>
      </c>
      <c r="S31" s="65" t="str">
        <f t="shared" si="0"/>
        <v>Grade-B</v>
      </c>
      <c r="T31" s="257">
        <f>IFERROR(VLOOKUP(F31,Database!F:G,2,0),0)</f>
        <v>700</v>
      </c>
      <c r="U31" s="66">
        <v>1</v>
      </c>
      <c r="V31" s="125">
        <v>1.2369515797759347</v>
      </c>
      <c r="W31" s="122">
        <v>750</v>
      </c>
      <c r="X31" s="66">
        <v>1</v>
      </c>
      <c r="Y31" s="125">
        <v>1.2369515797759347</v>
      </c>
      <c r="Z31" s="122">
        <v>750</v>
      </c>
      <c r="AA31" s="66">
        <v>1</v>
      </c>
      <c r="AB31" s="125">
        <v>1.2369515797759347</v>
      </c>
      <c r="AC31" s="122">
        <v>750</v>
      </c>
      <c r="AD31" s="282">
        <v>1</v>
      </c>
      <c r="AE31" s="38">
        <f t="shared" si="2"/>
        <v>0.63447638212890567</v>
      </c>
      <c r="AF31" s="235">
        <f t="shared" si="3"/>
        <v>400</v>
      </c>
    </row>
    <row r="32" spans="1:32">
      <c r="A32" s="60">
        <f t="shared" si="1"/>
        <v>25</v>
      </c>
      <c r="B32" s="69">
        <v>16733</v>
      </c>
      <c r="C32" s="70" t="s">
        <v>571</v>
      </c>
      <c r="D32" s="70" t="s">
        <v>181</v>
      </c>
      <c r="E32" s="83" t="s">
        <v>375</v>
      </c>
      <c r="F32" s="83" t="s">
        <v>375</v>
      </c>
      <c r="G32" s="70"/>
      <c r="H32" s="70" t="s">
        <v>360</v>
      </c>
      <c r="I32" s="146">
        <v>5</v>
      </c>
      <c r="J32" s="146">
        <v>4</v>
      </c>
      <c r="K32" s="146">
        <v>4</v>
      </c>
      <c r="L32" s="146">
        <v>5</v>
      </c>
      <c r="M32" s="146">
        <v>4</v>
      </c>
      <c r="N32" s="146">
        <v>5</v>
      </c>
      <c r="O32" s="146">
        <v>4</v>
      </c>
      <c r="P32" s="146">
        <v>5</v>
      </c>
      <c r="Q32" s="107">
        <v>4.55</v>
      </c>
      <c r="R32" s="117">
        <v>0.90999999999999992</v>
      </c>
      <c r="S32" s="65" t="str">
        <f t="shared" si="0"/>
        <v>Grade-A</v>
      </c>
      <c r="T32" s="118">
        <f>IFERROR(VLOOKUP(F32,Database!F:G,2,0),0)</f>
        <v>800</v>
      </c>
      <c r="U32" s="90">
        <v>1</v>
      </c>
      <c r="V32" s="121">
        <v>1.2369515797759347</v>
      </c>
      <c r="W32" s="119">
        <v>870</v>
      </c>
      <c r="X32" s="90">
        <v>1</v>
      </c>
      <c r="Y32" s="121">
        <v>1.2369515797759347</v>
      </c>
      <c r="Z32" s="119">
        <v>870</v>
      </c>
      <c r="AA32" s="90">
        <v>0</v>
      </c>
      <c r="AB32" s="121">
        <v>1.2369515797759347</v>
      </c>
      <c r="AC32" s="119">
        <v>0</v>
      </c>
      <c r="AD32" s="283">
        <v>1</v>
      </c>
      <c r="AE32" s="38">
        <f t="shared" si="2"/>
        <v>0.63447638212890567</v>
      </c>
      <c r="AF32" s="234">
        <f t="shared" si="3"/>
        <v>470</v>
      </c>
    </row>
    <row r="33" spans="1:32">
      <c r="A33" s="60">
        <f t="shared" si="1"/>
        <v>26</v>
      </c>
      <c r="B33" s="135">
        <v>15452</v>
      </c>
      <c r="C33" s="136" t="s">
        <v>573</v>
      </c>
      <c r="D33" s="136" t="s">
        <v>304</v>
      </c>
      <c r="E33" s="137" t="s">
        <v>368</v>
      </c>
      <c r="F33" s="137" t="s">
        <v>368</v>
      </c>
      <c r="G33" s="136"/>
      <c r="H33" s="136" t="s">
        <v>734</v>
      </c>
      <c r="I33" s="284">
        <v>5</v>
      </c>
      <c r="J33" s="284">
        <v>4</v>
      </c>
      <c r="K33" s="284">
        <v>4</v>
      </c>
      <c r="L33" s="284">
        <v>5</v>
      </c>
      <c r="M33" s="284">
        <v>5</v>
      </c>
      <c r="N33" s="284">
        <v>4</v>
      </c>
      <c r="O33" s="284">
        <v>5</v>
      </c>
      <c r="P33" s="284">
        <v>4</v>
      </c>
      <c r="Q33" s="194">
        <v>4.55</v>
      </c>
      <c r="R33" s="285">
        <v>0.90999999999999992</v>
      </c>
      <c r="S33" s="255" t="str">
        <f t="shared" si="0"/>
        <v>Grade-A</v>
      </c>
      <c r="T33" s="286">
        <f>IFERROR(VLOOKUP(F33,Database!F:G,2,0),0)</f>
        <v>850</v>
      </c>
      <c r="U33" s="138">
        <v>1</v>
      </c>
      <c r="V33" s="287">
        <v>1.2369515797759347</v>
      </c>
      <c r="W33" s="288">
        <v>1000</v>
      </c>
      <c r="X33" s="138">
        <v>1</v>
      </c>
      <c r="Y33" s="287">
        <v>1.2369515797759347</v>
      </c>
      <c r="Z33" s="288">
        <v>1000</v>
      </c>
      <c r="AA33" s="138">
        <v>1</v>
      </c>
      <c r="AB33" s="287">
        <v>1.2369515797759347</v>
      </c>
      <c r="AC33" s="288">
        <v>1000</v>
      </c>
      <c r="AD33" s="289">
        <v>0</v>
      </c>
      <c r="AE33" s="256">
        <f t="shared" si="2"/>
        <v>0.63447638212890567</v>
      </c>
      <c r="AF33" s="236">
        <f t="shared" si="3"/>
        <v>0</v>
      </c>
    </row>
    <row r="34" spans="1:32">
      <c r="A34" s="60">
        <f t="shared" si="1"/>
        <v>27</v>
      </c>
      <c r="B34" s="61">
        <v>17149</v>
      </c>
      <c r="C34" s="62" t="s">
        <v>576</v>
      </c>
      <c r="D34" s="62" t="s">
        <v>181</v>
      </c>
      <c r="E34" s="36" t="s">
        <v>370</v>
      </c>
      <c r="F34" s="36" t="s">
        <v>370</v>
      </c>
      <c r="G34" s="62"/>
      <c r="H34" s="62" t="s">
        <v>360</v>
      </c>
      <c r="I34" s="39">
        <v>5</v>
      </c>
      <c r="J34" s="39">
        <v>4</v>
      </c>
      <c r="K34" s="39">
        <v>4</v>
      </c>
      <c r="L34" s="39">
        <v>5</v>
      </c>
      <c r="M34" s="39">
        <v>4</v>
      </c>
      <c r="N34" s="39">
        <v>4</v>
      </c>
      <c r="O34" s="39">
        <v>4</v>
      </c>
      <c r="P34" s="39">
        <v>5</v>
      </c>
      <c r="Q34" s="123">
        <v>4.4499999999999993</v>
      </c>
      <c r="R34" s="124">
        <v>0.8899999999999999</v>
      </c>
      <c r="S34" s="65" t="str">
        <f t="shared" si="0"/>
        <v>Grade-B</v>
      </c>
      <c r="T34" s="118">
        <f>IFERROR(VLOOKUP(F34,Database!F:G,2,0),0)</f>
        <v>600</v>
      </c>
      <c r="U34" s="66">
        <v>1</v>
      </c>
      <c r="V34" s="121">
        <v>1.2369515797759347</v>
      </c>
      <c r="W34" s="122">
        <v>690</v>
      </c>
      <c r="X34" s="66">
        <v>1</v>
      </c>
      <c r="Y34" s="121">
        <v>1.2369515797759347</v>
      </c>
      <c r="Z34" s="122">
        <v>690</v>
      </c>
      <c r="AA34" s="66">
        <v>1</v>
      </c>
      <c r="AB34" s="121">
        <v>1.2369515797759347</v>
      </c>
      <c r="AC34" s="122">
        <v>690</v>
      </c>
      <c r="AD34" s="200">
        <v>1.2</v>
      </c>
      <c r="AE34" s="38">
        <f t="shared" si="2"/>
        <v>0.63447638212890567</v>
      </c>
      <c r="AF34" s="234">
        <f t="shared" si="3"/>
        <v>410</v>
      </c>
    </row>
    <row r="35" spans="1:32">
      <c r="A35" s="60">
        <f t="shared" si="1"/>
        <v>28</v>
      </c>
      <c r="B35" s="61">
        <v>21127</v>
      </c>
      <c r="C35" s="62" t="s">
        <v>578</v>
      </c>
      <c r="D35" s="62" t="s">
        <v>181</v>
      </c>
      <c r="E35" s="62" t="s">
        <v>370</v>
      </c>
      <c r="F35" s="62" t="s">
        <v>370</v>
      </c>
      <c r="G35" s="62"/>
      <c r="H35" s="62" t="s">
        <v>360</v>
      </c>
      <c r="I35" s="71">
        <v>5</v>
      </c>
      <c r="J35" s="71">
        <v>4</v>
      </c>
      <c r="K35" s="71">
        <v>4</v>
      </c>
      <c r="L35" s="71">
        <v>5</v>
      </c>
      <c r="M35" s="71">
        <v>4</v>
      </c>
      <c r="N35" s="71">
        <v>4</v>
      </c>
      <c r="O35" s="71">
        <v>4</v>
      </c>
      <c r="P35" s="71">
        <v>4</v>
      </c>
      <c r="Q35" s="123">
        <v>4.3999999999999995</v>
      </c>
      <c r="R35" s="124">
        <v>0.87999999999999989</v>
      </c>
      <c r="S35" s="65" t="str">
        <f t="shared" si="0"/>
        <v>Grade-B</v>
      </c>
      <c r="T35" s="118">
        <f>IFERROR(VLOOKUP(F35,Database!F:G,2,0),0)</f>
        <v>600</v>
      </c>
      <c r="U35" s="66">
        <v>1</v>
      </c>
      <c r="V35" s="121">
        <v>1.2369515797759347</v>
      </c>
      <c r="W35" s="122">
        <v>690</v>
      </c>
      <c r="X35" s="66">
        <v>1</v>
      </c>
      <c r="Y35" s="121">
        <v>1.2369515797759347</v>
      </c>
      <c r="Z35" s="122">
        <v>690</v>
      </c>
      <c r="AA35" s="66">
        <v>1</v>
      </c>
      <c r="AB35" s="121">
        <v>1.2369515797759347</v>
      </c>
      <c r="AC35" s="122">
        <v>690</v>
      </c>
      <c r="AD35" s="200">
        <v>1.3</v>
      </c>
      <c r="AE35" s="38">
        <f t="shared" si="2"/>
        <v>0.63447638212890567</v>
      </c>
      <c r="AF35" s="234">
        <f t="shared" si="3"/>
        <v>440</v>
      </c>
    </row>
    <row r="36" spans="1:32">
      <c r="A36" s="60">
        <f t="shared" si="1"/>
        <v>29</v>
      </c>
      <c r="B36" s="69">
        <v>18337</v>
      </c>
      <c r="C36" s="70" t="s">
        <v>579</v>
      </c>
      <c r="D36" s="70" t="s">
        <v>181</v>
      </c>
      <c r="E36" s="70" t="s">
        <v>370</v>
      </c>
      <c r="F36" s="70" t="s">
        <v>370</v>
      </c>
      <c r="G36" s="70"/>
      <c r="H36" s="62" t="s">
        <v>360</v>
      </c>
      <c r="I36" s="71">
        <v>5</v>
      </c>
      <c r="J36" s="71">
        <v>5</v>
      </c>
      <c r="K36" s="71">
        <v>4</v>
      </c>
      <c r="L36" s="71">
        <v>5</v>
      </c>
      <c r="M36" s="71">
        <v>4</v>
      </c>
      <c r="N36" s="71">
        <v>4</v>
      </c>
      <c r="O36" s="71">
        <v>4</v>
      </c>
      <c r="P36" s="71">
        <v>3</v>
      </c>
      <c r="Q36" s="107">
        <v>4.5500000000000007</v>
      </c>
      <c r="R36" s="117">
        <v>0.90999999999999992</v>
      </c>
      <c r="S36" s="65" t="str">
        <f t="shared" si="0"/>
        <v>Grade-A</v>
      </c>
      <c r="T36" s="118">
        <f>IFERROR(VLOOKUP(F36,Database!F:G,2,0),0)</f>
        <v>600</v>
      </c>
      <c r="U36" s="90">
        <v>1</v>
      </c>
      <c r="V36" s="121">
        <v>1.2369515797759347</v>
      </c>
      <c r="W36" s="119">
        <v>690</v>
      </c>
      <c r="X36" s="90">
        <v>1</v>
      </c>
      <c r="Y36" s="121">
        <v>1.2369515797759347</v>
      </c>
      <c r="Z36" s="119">
        <v>690</v>
      </c>
      <c r="AA36" s="90">
        <v>1</v>
      </c>
      <c r="AB36" s="121">
        <v>1.2369515797759347</v>
      </c>
      <c r="AC36" s="119">
        <v>690</v>
      </c>
      <c r="AD36" s="282">
        <v>1</v>
      </c>
      <c r="AE36" s="38">
        <f t="shared" si="2"/>
        <v>0.63447638212890567</v>
      </c>
      <c r="AF36" s="234">
        <f t="shared" si="3"/>
        <v>350</v>
      </c>
    </row>
    <row r="37" spans="1:32">
      <c r="A37" s="60">
        <f t="shared" si="1"/>
        <v>30</v>
      </c>
      <c r="B37" s="61">
        <v>9283</v>
      </c>
      <c r="C37" s="62" t="s">
        <v>581</v>
      </c>
      <c r="D37" s="62" t="s">
        <v>421</v>
      </c>
      <c r="E37" s="36" t="s">
        <v>375</v>
      </c>
      <c r="F37" s="36" t="s">
        <v>375</v>
      </c>
      <c r="G37" s="62"/>
      <c r="H37" s="62" t="s">
        <v>360</v>
      </c>
      <c r="I37" s="77">
        <v>4</v>
      </c>
      <c r="J37" s="77">
        <v>4</v>
      </c>
      <c r="K37" s="77">
        <v>5</v>
      </c>
      <c r="L37" s="77">
        <v>5</v>
      </c>
      <c r="M37" s="77">
        <v>4</v>
      </c>
      <c r="N37" s="77">
        <v>5</v>
      </c>
      <c r="O37" s="77">
        <v>5</v>
      </c>
      <c r="P37" s="77">
        <v>3</v>
      </c>
      <c r="Q37" s="123">
        <v>4.3000000000000007</v>
      </c>
      <c r="R37" s="120">
        <v>0.86</v>
      </c>
      <c r="S37" s="65" t="str">
        <f t="shared" si="0"/>
        <v>Grade-B</v>
      </c>
      <c r="T37" s="118">
        <f>IFERROR(VLOOKUP(F37,Database!F:G,2,0),0)</f>
        <v>800</v>
      </c>
      <c r="U37" s="66">
        <v>1</v>
      </c>
      <c r="V37" s="125">
        <v>1.2369515797759347</v>
      </c>
      <c r="W37" s="122">
        <v>560</v>
      </c>
      <c r="X37" s="66">
        <v>1</v>
      </c>
      <c r="Y37" s="125">
        <v>1.2369515797759347</v>
      </c>
      <c r="Z37" s="122">
        <v>560</v>
      </c>
      <c r="AA37" s="66">
        <v>0.97</v>
      </c>
      <c r="AB37" s="125">
        <v>1.2369515797759347</v>
      </c>
      <c r="AC37" s="122">
        <v>540</v>
      </c>
      <c r="AD37" s="282">
        <v>1</v>
      </c>
      <c r="AE37" s="38">
        <f t="shared" si="2"/>
        <v>0.63447638212890567</v>
      </c>
      <c r="AF37" s="234">
        <f t="shared" si="3"/>
        <v>440</v>
      </c>
    </row>
    <row r="38" spans="1:32">
      <c r="A38" s="60">
        <f t="shared" si="1"/>
        <v>31</v>
      </c>
      <c r="B38" s="61">
        <v>17865</v>
      </c>
      <c r="C38" s="62" t="s">
        <v>289</v>
      </c>
      <c r="D38" s="62" t="s">
        <v>32</v>
      </c>
      <c r="E38" s="62" t="s">
        <v>370</v>
      </c>
      <c r="F38" s="62" t="s">
        <v>370</v>
      </c>
      <c r="G38" s="62"/>
      <c r="H38" s="62" t="s">
        <v>360</v>
      </c>
      <c r="I38" s="39">
        <v>5</v>
      </c>
      <c r="J38" s="39">
        <v>5</v>
      </c>
      <c r="K38" s="39">
        <v>4</v>
      </c>
      <c r="L38" s="39">
        <v>5</v>
      </c>
      <c r="M38" s="39">
        <v>5</v>
      </c>
      <c r="N38" s="39">
        <v>4</v>
      </c>
      <c r="O38" s="39">
        <v>4</v>
      </c>
      <c r="P38" s="39">
        <v>4</v>
      </c>
      <c r="Q38" s="123">
        <v>4.7</v>
      </c>
      <c r="R38" s="124">
        <v>0.94</v>
      </c>
      <c r="S38" s="65" t="str">
        <f t="shared" si="0"/>
        <v>Grade-A</v>
      </c>
      <c r="T38" s="118">
        <f>IFERROR(VLOOKUP(F38,Database!F:G,2,0),0)</f>
        <v>600</v>
      </c>
      <c r="U38" s="66">
        <v>1.2</v>
      </c>
      <c r="V38" s="121">
        <v>1.2369515797759347</v>
      </c>
      <c r="W38" s="122">
        <v>840</v>
      </c>
      <c r="X38" s="66">
        <v>1</v>
      </c>
      <c r="Y38" s="121">
        <v>1.2369515797759347</v>
      </c>
      <c r="Z38" s="122">
        <v>700</v>
      </c>
      <c r="AA38" s="200">
        <v>1.1000000000000001</v>
      </c>
      <c r="AB38" s="121">
        <v>1.2369515797759347</v>
      </c>
      <c r="AC38" s="122">
        <v>770</v>
      </c>
      <c r="AD38" s="200">
        <v>1.2</v>
      </c>
      <c r="AE38" s="38">
        <f t="shared" si="2"/>
        <v>0.63447638212890567</v>
      </c>
      <c r="AF38" s="234">
        <f t="shared" si="3"/>
        <v>430</v>
      </c>
    </row>
    <row r="39" spans="1:32">
      <c r="A39" s="60">
        <f t="shared" si="1"/>
        <v>32</v>
      </c>
      <c r="B39" s="61">
        <v>16731</v>
      </c>
      <c r="C39" s="62" t="s">
        <v>282</v>
      </c>
      <c r="D39" s="62" t="s">
        <v>32</v>
      </c>
      <c r="E39" s="170" t="s">
        <v>376</v>
      </c>
      <c r="F39" s="83" t="s">
        <v>376</v>
      </c>
      <c r="G39" s="62"/>
      <c r="H39" s="62" t="s">
        <v>360</v>
      </c>
      <c r="I39" s="39">
        <v>5</v>
      </c>
      <c r="J39" s="39">
        <v>5</v>
      </c>
      <c r="K39" s="39">
        <v>5</v>
      </c>
      <c r="L39" s="39">
        <v>5</v>
      </c>
      <c r="M39" s="39">
        <v>5</v>
      </c>
      <c r="N39" s="39">
        <v>4</v>
      </c>
      <c r="O39" s="39">
        <v>4</v>
      </c>
      <c r="P39" s="39">
        <v>4</v>
      </c>
      <c r="Q39" s="123">
        <v>4.8000000000000007</v>
      </c>
      <c r="R39" s="124">
        <v>0.96</v>
      </c>
      <c r="S39" s="65" t="str">
        <f t="shared" si="0"/>
        <v>Grade-A</v>
      </c>
      <c r="T39" s="118">
        <f>IFERROR(VLOOKUP(F39,Database!F:G,2,0),0)</f>
        <v>700</v>
      </c>
      <c r="U39" s="66">
        <v>1</v>
      </c>
      <c r="V39" s="121">
        <v>1.2369515797759347</v>
      </c>
      <c r="W39" s="122">
        <v>780</v>
      </c>
      <c r="X39" s="66">
        <v>1</v>
      </c>
      <c r="Y39" s="121">
        <v>1.2369515797759347</v>
      </c>
      <c r="Z39" s="122">
        <v>780</v>
      </c>
      <c r="AA39" s="66">
        <v>1</v>
      </c>
      <c r="AB39" s="121">
        <v>1.2369515797759347</v>
      </c>
      <c r="AC39" s="122">
        <v>780</v>
      </c>
      <c r="AD39" s="282">
        <v>1</v>
      </c>
      <c r="AE39" s="38">
        <f t="shared" si="2"/>
        <v>0.63447638212890567</v>
      </c>
      <c r="AF39" s="234">
        <f t="shared" si="3"/>
        <v>430</v>
      </c>
    </row>
    <row r="40" spans="1:32">
      <c r="A40" s="60">
        <f t="shared" si="1"/>
        <v>33</v>
      </c>
      <c r="B40" s="61">
        <v>4895</v>
      </c>
      <c r="C40" s="62" t="s">
        <v>276</v>
      </c>
      <c r="D40" s="62" t="s">
        <v>60</v>
      </c>
      <c r="E40" s="62" t="s">
        <v>370</v>
      </c>
      <c r="F40" s="70" t="s">
        <v>370</v>
      </c>
      <c r="G40" s="62"/>
      <c r="H40" s="62" t="s">
        <v>360</v>
      </c>
      <c r="I40" s="39">
        <v>5</v>
      </c>
      <c r="J40" s="39">
        <v>4</v>
      </c>
      <c r="K40" s="39">
        <v>4</v>
      </c>
      <c r="L40" s="39">
        <v>5</v>
      </c>
      <c r="M40" s="39">
        <v>5</v>
      </c>
      <c r="N40" s="39">
        <v>4</v>
      </c>
      <c r="O40" s="39">
        <v>4</v>
      </c>
      <c r="P40" s="39">
        <v>4</v>
      </c>
      <c r="Q40" s="123">
        <v>4.5</v>
      </c>
      <c r="R40" s="124">
        <v>0.89999999999999991</v>
      </c>
      <c r="S40" s="65" t="str">
        <f t="shared" si="0"/>
        <v>Grade-A</v>
      </c>
      <c r="T40" s="118">
        <f>IFERROR(VLOOKUP(F40,Database!F:G,2,0),0)</f>
        <v>600</v>
      </c>
      <c r="U40" s="66">
        <v>1</v>
      </c>
      <c r="V40" s="121">
        <v>1.2369515797759347</v>
      </c>
      <c r="W40" s="122">
        <v>700</v>
      </c>
      <c r="X40" s="66">
        <v>1</v>
      </c>
      <c r="Y40" s="121">
        <v>1.2369515797759347</v>
      </c>
      <c r="Z40" s="122">
        <v>700</v>
      </c>
      <c r="AA40" s="66">
        <v>1</v>
      </c>
      <c r="AB40" s="121">
        <v>1.2369515797759347</v>
      </c>
      <c r="AC40" s="122">
        <v>700</v>
      </c>
      <c r="AD40" s="200">
        <v>1.2</v>
      </c>
      <c r="AE40" s="38">
        <f t="shared" si="2"/>
        <v>0.63447638212890567</v>
      </c>
      <c r="AF40" s="234">
        <f t="shared" si="3"/>
        <v>420</v>
      </c>
    </row>
    <row r="41" spans="1:32">
      <c r="A41" s="60">
        <f t="shared" si="1"/>
        <v>34</v>
      </c>
      <c r="B41" s="61">
        <v>16730</v>
      </c>
      <c r="C41" s="62" t="s">
        <v>281</v>
      </c>
      <c r="D41" s="62" t="s">
        <v>259</v>
      </c>
      <c r="E41" s="170" t="s">
        <v>376</v>
      </c>
      <c r="F41" s="83" t="s">
        <v>376</v>
      </c>
      <c r="G41" s="62"/>
      <c r="H41" s="62" t="s">
        <v>360</v>
      </c>
      <c r="I41" s="39">
        <v>5</v>
      </c>
      <c r="J41" s="39">
        <v>4</v>
      </c>
      <c r="K41" s="39">
        <v>4</v>
      </c>
      <c r="L41" s="39">
        <v>5</v>
      </c>
      <c r="M41" s="39">
        <v>5</v>
      </c>
      <c r="N41" s="39">
        <v>4</v>
      </c>
      <c r="O41" s="39">
        <v>4</v>
      </c>
      <c r="P41" s="39">
        <v>4</v>
      </c>
      <c r="Q41" s="123">
        <v>4.5</v>
      </c>
      <c r="R41" s="124">
        <v>0.89999999999999991</v>
      </c>
      <c r="S41" s="65" t="str">
        <f t="shared" si="0"/>
        <v>Grade-A</v>
      </c>
      <c r="T41" s="118">
        <f>IFERROR(VLOOKUP(F41,Database!F:G,2,0),0)</f>
        <v>700</v>
      </c>
      <c r="U41" s="66">
        <v>1</v>
      </c>
      <c r="V41" s="121">
        <v>1.2369515797759347</v>
      </c>
      <c r="W41" s="122">
        <v>750</v>
      </c>
      <c r="X41" s="66">
        <v>1</v>
      </c>
      <c r="Y41" s="121">
        <v>1.2369515797759347</v>
      </c>
      <c r="Z41" s="122">
        <v>750</v>
      </c>
      <c r="AA41" s="66">
        <v>1</v>
      </c>
      <c r="AB41" s="121">
        <v>1.2369515797759347</v>
      </c>
      <c r="AC41" s="122">
        <v>750</v>
      </c>
      <c r="AD41" s="282">
        <v>1</v>
      </c>
      <c r="AE41" s="38">
        <f t="shared" si="2"/>
        <v>0.63447638212890567</v>
      </c>
      <c r="AF41" s="234">
        <f t="shared" si="3"/>
        <v>400</v>
      </c>
    </row>
    <row r="42" spans="1:32">
      <c r="A42" s="60">
        <f t="shared" si="1"/>
        <v>35</v>
      </c>
      <c r="B42" s="61">
        <v>406</v>
      </c>
      <c r="C42" s="62" t="s">
        <v>254</v>
      </c>
      <c r="D42" s="62" t="s">
        <v>255</v>
      </c>
      <c r="E42" s="170" t="s">
        <v>366</v>
      </c>
      <c r="F42" s="83" t="s">
        <v>366</v>
      </c>
      <c r="G42" s="62"/>
      <c r="H42" s="62" t="s">
        <v>360</v>
      </c>
      <c r="I42" s="39">
        <v>5</v>
      </c>
      <c r="J42" s="39">
        <v>5</v>
      </c>
      <c r="K42" s="39">
        <v>4</v>
      </c>
      <c r="L42" s="39">
        <v>5</v>
      </c>
      <c r="M42" s="39">
        <v>4</v>
      </c>
      <c r="N42" s="39">
        <v>4</v>
      </c>
      <c r="O42" s="39">
        <v>4</v>
      </c>
      <c r="P42" s="39">
        <v>4</v>
      </c>
      <c r="Q42" s="123">
        <v>4.6000000000000005</v>
      </c>
      <c r="R42" s="124">
        <v>0.91999999999999993</v>
      </c>
      <c r="S42" s="65" t="str">
        <f t="shared" si="0"/>
        <v>Grade-A</v>
      </c>
      <c r="T42" s="118">
        <f>IFERROR(VLOOKUP(F42,Database!F:G,2,0),0)</f>
        <v>1300</v>
      </c>
      <c r="U42" s="66">
        <v>1</v>
      </c>
      <c r="V42" s="121">
        <v>1.2369515797759347</v>
      </c>
      <c r="W42" s="122">
        <v>1320</v>
      </c>
      <c r="X42" s="66">
        <v>1</v>
      </c>
      <c r="Y42" s="121">
        <v>1.2369515797759347</v>
      </c>
      <c r="Z42" s="122">
        <v>1320</v>
      </c>
      <c r="AA42" s="200">
        <v>0.5</v>
      </c>
      <c r="AB42" s="121">
        <v>1.2369515797759347</v>
      </c>
      <c r="AC42" s="122">
        <v>660</v>
      </c>
      <c r="AD42" s="282">
        <v>1</v>
      </c>
      <c r="AE42" s="38">
        <f t="shared" si="2"/>
        <v>0.63447638212890567</v>
      </c>
      <c r="AF42" s="234">
        <f t="shared" si="3"/>
        <v>760</v>
      </c>
    </row>
    <row r="43" spans="1:32">
      <c r="A43" s="60">
        <f t="shared" si="1"/>
        <v>36</v>
      </c>
      <c r="B43" s="61">
        <v>15680</v>
      </c>
      <c r="C43" s="62" t="s">
        <v>583</v>
      </c>
      <c r="D43" s="62" t="s">
        <v>32</v>
      </c>
      <c r="E43" s="36" t="s">
        <v>370</v>
      </c>
      <c r="F43" s="36" t="s">
        <v>370</v>
      </c>
      <c r="G43" s="62"/>
      <c r="H43" s="62" t="s">
        <v>360</v>
      </c>
      <c r="I43" s="39">
        <v>5</v>
      </c>
      <c r="J43" s="39">
        <v>4</v>
      </c>
      <c r="K43" s="39">
        <v>4</v>
      </c>
      <c r="L43" s="39">
        <v>4</v>
      </c>
      <c r="M43" s="39">
        <v>5</v>
      </c>
      <c r="N43" s="39">
        <v>4</v>
      </c>
      <c r="O43" s="39">
        <v>5</v>
      </c>
      <c r="P43" s="39">
        <v>5</v>
      </c>
      <c r="Q43" s="123">
        <v>4.5</v>
      </c>
      <c r="R43" s="120">
        <v>0.89999999999999991</v>
      </c>
      <c r="S43" s="65" t="str">
        <f t="shared" si="0"/>
        <v>Grade-A</v>
      </c>
      <c r="T43" s="118">
        <f>IFERROR(VLOOKUP(F43,Database!F:G,2,0),0)</f>
        <v>600</v>
      </c>
      <c r="U43" s="66">
        <v>1</v>
      </c>
      <c r="V43" s="125">
        <v>1.2369515797759347</v>
      </c>
      <c r="W43" s="122">
        <v>670</v>
      </c>
      <c r="X43" s="66">
        <v>1</v>
      </c>
      <c r="Y43" s="125">
        <v>1.2369515797759347</v>
      </c>
      <c r="Z43" s="122">
        <v>670</v>
      </c>
      <c r="AA43" s="66">
        <v>1</v>
      </c>
      <c r="AB43" s="125">
        <v>1.2369515797759347</v>
      </c>
      <c r="AC43" s="122">
        <v>670</v>
      </c>
      <c r="AD43" s="282">
        <v>1</v>
      </c>
      <c r="AE43" s="38">
        <f t="shared" si="2"/>
        <v>0.63447638212890567</v>
      </c>
      <c r="AF43" s="234">
        <f t="shared" si="3"/>
        <v>350</v>
      </c>
    </row>
    <row r="44" spans="1:32">
      <c r="A44" s="60">
        <f t="shared" si="1"/>
        <v>37</v>
      </c>
      <c r="B44" s="61">
        <v>17210</v>
      </c>
      <c r="C44" s="62" t="s">
        <v>501</v>
      </c>
      <c r="D44" s="62" t="s">
        <v>65</v>
      </c>
      <c r="E44" s="171" t="s">
        <v>372</v>
      </c>
      <c r="F44" s="70" t="s">
        <v>372</v>
      </c>
      <c r="G44" s="62"/>
      <c r="H44" s="62" t="s">
        <v>360</v>
      </c>
      <c r="I44" s="39">
        <v>5</v>
      </c>
      <c r="J44" s="39">
        <v>4</v>
      </c>
      <c r="K44" s="39">
        <v>4</v>
      </c>
      <c r="L44" s="39">
        <v>4</v>
      </c>
      <c r="M44" s="39">
        <v>2</v>
      </c>
      <c r="N44" s="39">
        <v>4</v>
      </c>
      <c r="O44" s="39">
        <v>4</v>
      </c>
      <c r="P44" s="39">
        <v>4</v>
      </c>
      <c r="Q44" s="123">
        <v>4.0999999999999996</v>
      </c>
      <c r="R44" s="124">
        <v>0.82</v>
      </c>
      <c r="S44" s="65" t="str">
        <f t="shared" si="0"/>
        <v>Grade-B</v>
      </c>
      <c r="T44" s="118">
        <f>IFERROR(VLOOKUP(F44,Database!F:G,2,0),0)</f>
        <v>800</v>
      </c>
      <c r="U44" s="66">
        <v>1</v>
      </c>
      <c r="V44" s="121">
        <v>1.2369515797759347</v>
      </c>
      <c r="W44" s="122">
        <v>640</v>
      </c>
      <c r="X44" s="66">
        <v>1</v>
      </c>
      <c r="Y44" s="121">
        <v>1.2369515797759347</v>
      </c>
      <c r="Z44" s="122">
        <v>640</v>
      </c>
      <c r="AA44" s="66">
        <v>0.97</v>
      </c>
      <c r="AB44" s="121">
        <v>1.2369515797759347</v>
      </c>
      <c r="AC44" s="122">
        <v>620</v>
      </c>
      <c r="AD44" s="282">
        <v>1</v>
      </c>
      <c r="AE44" s="38">
        <f t="shared" si="2"/>
        <v>0.63447638212890567</v>
      </c>
      <c r="AF44" s="234">
        <f t="shared" si="3"/>
        <v>420</v>
      </c>
    </row>
    <row r="45" spans="1:32">
      <c r="A45" s="60">
        <f t="shared" si="1"/>
        <v>38</v>
      </c>
      <c r="B45" s="61">
        <v>3873</v>
      </c>
      <c r="C45" s="62" t="s">
        <v>699</v>
      </c>
      <c r="D45" s="62" t="s">
        <v>185</v>
      </c>
      <c r="E45" s="62" t="s">
        <v>366</v>
      </c>
      <c r="F45" s="70" t="s">
        <v>375</v>
      </c>
      <c r="G45" s="62"/>
      <c r="H45" s="62" t="s">
        <v>360</v>
      </c>
      <c r="I45" s="39">
        <v>5</v>
      </c>
      <c r="J45" s="39">
        <v>4</v>
      </c>
      <c r="K45" s="39">
        <v>5</v>
      </c>
      <c r="L45" s="39">
        <v>5</v>
      </c>
      <c r="M45" s="39">
        <v>4</v>
      </c>
      <c r="N45" s="39">
        <v>5</v>
      </c>
      <c r="O45" s="39">
        <v>4</v>
      </c>
      <c r="P45" s="39">
        <v>4</v>
      </c>
      <c r="Q45" s="123">
        <v>4.5999999999999996</v>
      </c>
      <c r="R45" s="124">
        <v>0.91999999999999993</v>
      </c>
      <c r="S45" s="65" t="str">
        <f t="shared" si="0"/>
        <v>Grade-A</v>
      </c>
      <c r="T45" s="118">
        <f>IFERROR(VLOOKUP(F45,Database!F:G,2,0),0)</f>
        <v>800</v>
      </c>
      <c r="U45" s="66">
        <v>0</v>
      </c>
      <c r="V45" s="121">
        <v>1.2369515797759347</v>
      </c>
      <c r="W45" s="122">
        <v>0</v>
      </c>
      <c r="X45" s="66">
        <v>0</v>
      </c>
      <c r="Y45" s="121">
        <v>1.2369515797759347</v>
      </c>
      <c r="Z45" s="122">
        <v>0</v>
      </c>
      <c r="AA45" s="66">
        <v>0</v>
      </c>
      <c r="AB45" s="121">
        <v>1.2369515797759347</v>
      </c>
      <c r="AC45" s="122">
        <v>0</v>
      </c>
      <c r="AD45" s="282">
        <v>1</v>
      </c>
      <c r="AE45" s="38">
        <f t="shared" si="2"/>
        <v>0.63447638212890567</v>
      </c>
      <c r="AF45" s="234">
        <f t="shared" si="3"/>
        <v>470</v>
      </c>
    </row>
    <row r="46" spans="1:32">
      <c r="A46" s="60">
        <f t="shared" si="1"/>
        <v>39</v>
      </c>
      <c r="B46" s="61">
        <v>19401</v>
      </c>
      <c r="C46" s="62" t="s">
        <v>577</v>
      </c>
      <c r="D46" s="62"/>
      <c r="E46" s="62"/>
      <c r="F46" s="70" t="s">
        <v>375</v>
      </c>
      <c r="G46" s="62"/>
      <c r="H46" s="62" t="s">
        <v>360</v>
      </c>
      <c r="I46" s="39">
        <v>5</v>
      </c>
      <c r="J46" s="39">
        <v>5</v>
      </c>
      <c r="K46" s="39">
        <v>5</v>
      </c>
      <c r="L46" s="39">
        <v>5</v>
      </c>
      <c r="M46" s="39">
        <v>5</v>
      </c>
      <c r="N46" s="39">
        <v>4</v>
      </c>
      <c r="O46" s="39">
        <v>4</v>
      </c>
      <c r="P46" s="39">
        <v>4</v>
      </c>
      <c r="Q46" s="123">
        <v>4.8000000000000007</v>
      </c>
      <c r="R46" s="124">
        <v>0.96</v>
      </c>
      <c r="S46" s="65" t="str">
        <f t="shared" si="0"/>
        <v>Grade-A</v>
      </c>
      <c r="T46" s="118">
        <f>IFERROR(VLOOKUP(F46,Database!F:G,2,0),0)</f>
        <v>800</v>
      </c>
      <c r="U46" s="66"/>
      <c r="V46" s="121"/>
      <c r="W46" s="122"/>
      <c r="X46" s="66"/>
      <c r="Y46" s="121"/>
      <c r="Z46" s="122"/>
      <c r="AA46" s="66"/>
      <c r="AB46" s="121"/>
      <c r="AC46" s="122"/>
      <c r="AD46" s="282">
        <v>1</v>
      </c>
      <c r="AE46" s="38">
        <f t="shared" si="2"/>
        <v>0.63447638212890567</v>
      </c>
      <c r="AF46" s="234">
        <f t="shared" si="3"/>
        <v>490</v>
      </c>
    </row>
    <row r="47" spans="1:32">
      <c r="A47" s="60">
        <f t="shared" si="1"/>
        <v>40</v>
      </c>
      <c r="B47" s="61">
        <v>17876</v>
      </c>
      <c r="C47" s="62" t="s">
        <v>712</v>
      </c>
      <c r="D47" s="62" t="s">
        <v>185</v>
      </c>
      <c r="E47" s="62" t="s">
        <v>366</v>
      </c>
      <c r="F47" s="70" t="s">
        <v>370</v>
      </c>
      <c r="G47" s="62"/>
      <c r="H47" s="62" t="s">
        <v>360</v>
      </c>
      <c r="I47" s="39">
        <v>4</v>
      </c>
      <c r="J47" s="39">
        <v>5</v>
      </c>
      <c r="K47" s="39">
        <v>5</v>
      </c>
      <c r="L47" s="39">
        <v>5</v>
      </c>
      <c r="M47" s="39">
        <v>4</v>
      </c>
      <c r="N47" s="39">
        <v>4</v>
      </c>
      <c r="O47" s="39">
        <v>5</v>
      </c>
      <c r="P47" s="39">
        <v>4</v>
      </c>
      <c r="Q47" s="123">
        <v>4.45</v>
      </c>
      <c r="R47" s="124">
        <v>0.89</v>
      </c>
      <c r="S47" s="65" t="str">
        <f t="shared" si="0"/>
        <v>Grade-B</v>
      </c>
      <c r="T47" s="118">
        <f>IFERROR(VLOOKUP(F47,Database!F:G,2,0),0)</f>
        <v>600</v>
      </c>
      <c r="U47" s="66">
        <v>1</v>
      </c>
      <c r="V47" s="121">
        <v>1.2369515797759347</v>
      </c>
      <c r="W47" s="122">
        <v>1390</v>
      </c>
      <c r="X47" s="66">
        <v>1</v>
      </c>
      <c r="Y47" s="121">
        <v>0.23695157977593501</v>
      </c>
      <c r="Z47" s="122">
        <v>1390</v>
      </c>
      <c r="AA47" s="66">
        <v>1</v>
      </c>
      <c r="AB47" s="121">
        <v>0.23695157977593501</v>
      </c>
      <c r="AC47" s="122">
        <v>1390</v>
      </c>
      <c r="AD47" s="282">
        <v>1</v>
      </c>
      <c r="AE47" s="38">
        <f t="shared" si="2"/>
        <v>0.63447638212890567</v>
      </c>
      <c r="AF47" s="234">
        <f t="shared" si="3"/>
        <v>340</v>
      </c>
    </row>
    <row r="48" spans="1:32">
      <c r="A48" s="60">
        <f t="shared" si="1"/>
        <v>41</v>
      </c>
      <c r="B48" s="61">
        <v>2201</v>
      </c>
      <c r="C48" s="62" t="s">
        <v>532</v>
      </c>
      <c r="D48" s="62" t="s">
        <v>185</v>
      </c>
      <c r="E48" s="62" t="s">
        <v>366</v>
      </c>
      <c r="F48" s="70" t="s">
        <v>366</v>
      </c>
      <c r="G48" s="62"/>
      <c r="H48" s="62" t="s">
        <v>360</v>
      </c>
      <c r="I48" s="39">
        <v>4</v>
      </c>
      <c r="J48" s="39">
        <v>5</v>
      </c>
      <c r="K48" s="39">
        <v>5</v>
      </c>
      <c r="L48" s="39">
        <v>5</v>
      </c>
      <c r="M48" s="39">
        <v>4</v>
      </c>
      <c r="N48" s="39">
        <v>5</v>
      </c>
      <c r="O48" s="39">
        <v>4</v>
      </c>
      <c r="P48" s="39">
        <v>4</v>
      </c>
      <c r="Q48" s="123">
        <v>4.5</v>
      </c>
      <c r="R48" s="124">
        <v>0.9</v>
      </c>
      <c r="S48" s="65" t="str">
        <f t="shared" si="0"/>
        <v>Grade-A</v>
      </c>
      <c r="T48" s="118">
        <f>IFERROR(VLOOKUP(F48,Database!F:G,2,0),0)</f>
        <v>1300</v>
      </c>
      <c r="U48" s="66">
        <v>1</v>
      </c>
      <c r="V48" s="121">
        <v>1.2369515797759347</v>
      </c>
      <c r="W48" s="122">
        <v>1390</v>
      </c>
      <c r="X48" s="66">
        <v>1</v>
      </c>
      <c r="Y48" s="121">
        <v>1.2369515797759347</v>
      </c>
      <c r="Z48" s="122">
        <v>1390</v>
      </c>
      <c r="AA48" s="66">
        <v>1</v>
      </c>
      <c r="AB48" s="121">
        <v>1.2369515797759347</v>
      </c>
      <c r="AC48" s="122">
        <v>1390</v>
      </c>
      <c r="AD48" s="200">
        <v>1.1000000000000001</v>
      </c>
      <c r="AE48" s="38">
        <f t="shared" si="2"/>
        <v>0.63447638212890567</v>
      </c>
      <c r="AF48" s="234">
        <f t="shared" si="3"/>
        <v>820</v>
      </c>
    </row>
    <row r="49" spans="20:32">
      <c r="T49" s="173">
        <f>SUM(T8:T48)</f>
        <v>33000</v>
      </c>
      <c r="AF49" s="363">
        <f>SUM(AF8:AF48)</f>
        <v>19030</v>
      </c>
    </row>
  </sheetData>
  <autoFilter ref="A7:W48"/>
  <mergeCells count="4">
    <mergeCell ref="A1:S1"/>
    <mergeCell ref="C2:I2"/>
    <mergeCell ref="C3:I3"/>
    <mergeCell ref="C4:I4"/>
  </mergeCells>
  <phoneticPr fontId="3" type="noConversion"/>
  <dataValidations count="5">
    <dataValidation allowBlank="1" showInputMessage="1" showErrorMessage="1" prompt="The lowest level of performance. Requires drastic changes for improvement." sqref="M6"/>
    <dataValidation allowBlank="1" showInputMessage="1" showErrorMessage="1" prompt="Performance below expectations. Needs development and significant improvements." sqref="L6"/>
    <dataValidation allowBlank="1" showInputMessage="1" showErrorMessage="1" prompt="Acceptable performance with satisfactory results. Some aspects can be improved." sqref="K6"/>
    <dataValidation allowBlank="1" showInputMessage="1" showErrorMessage="1" prompt="Strong performance with positive results. Shows commitment and excellence." sqref="J6"/>
    <dataValidation allowBlank="1" showInputMessage="1" showErrorMessage="1" prompt="Represents the highest level of performance. Outstanding and exceptional achievements." sqref="I6"/>
  </dataValidations>
  <pageMargins left="0.7" right="0.7" top="0.75" bottom="0.75" header="0.3" footer="0.3"/>
  <pageSetup paperSize="9" scale="4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26"/>
  <sheetViews>
    <sheetView zoomScale="85" zoomScaleNormal="85" workbookViewId="0">
      <pane xSplit="3" ySplit="7" topLeftCell="N8" activePane="bottomRight" state="frozen"/>
      <selection pane="topRight" activeCell="D1" sqref="D1"/>
      <selection pane="bottomLeft" activeCell="A8" sqref="A8"/>
      <selection pane="bottomRight" activeCell="R37" sqref="R37"/>
    </sheetView>
  </sheetViews>
  <sheetFormatPr defaultColWidth="8.875" defaultRowHeight="13.5"/>
  <cols>
    <col min="1" max="1" width="5.6875" style="42" customWidth="1"/>
    <col min="2" max="2" width="7.6875" style="42" customWidth="1"/>
    <col min="3" max="3" width="22.3125" style="42" customWidth="1"/>
    <col min="4" max="4" width="19.125" style="42" hidden="1" customWidth="1"/>
    <col min="5" max="5" width="17.25" style="81" hidden="1" customWidth="1"/>
    <col min="6" max="6" width="15.125" style="81" customWidth="1"/>
    <col min="7" max="7" width="15.125" style="81" hidden="1" customWidth="1"/>
    <col min="8" max="8" width="28.6875" style="81" customWidth="1"/>
    <col min="9" max="9" width="11.6875" style="82" customWidth="1"/>
    <col min="10" max="10" width="10.3125" style="82" customWidth="1"/>
    <col min="11" max="13" width="8.6875" style="82" customWidth="1"/>
    <col min="14" max="14" width="7.6875" style="82" customWidth="1"/>
    <col min="15" max="16" width="8.6875" style="82" customWidth="1"/>
    <col min="17" max="17" width="6.875" style="42" customWidth="1"/>
    <col min="18" max="18" width="8" style="42" bestFit="1" customWidth="1"/>
    <col min="19" max="20" width="9" style="42" customWidth="1"/>
    <col min="21" max="22" width="8.875" style="42" hidden="1" customWidth="1"/>
    <col min="23" max="23" width="16.125" style="42" hidden="1" customWidth="1"/>
    <col min="24" max="25" width="0" style="42" hidden="1" customWidth="1"/>
    <col min="26" max="26" width="16.125" style="42" hidden="1" customWidth="1"/>
    <col min="27" max="28" width="0" style="42" hidden="1" customWidth="1"/>
    <col min="29" max="29" width="16.125" style="42" hidden="1" customWidth="1"/>
    <col min="30" max="30" width="8.875" style="42"/>
    <col min="31" max="31" width="9.125" style="42" bestFit="1" customWidth="1"/>
    <col min="32" max="32" width="16.125" style="42" customWidth="1"/>
    <col min="33" max="16384" width="8.875" style="42"/>
  </cols>
  <sheetData>
    <row r="1" spans="1:32" ht="20.25">
      <c r="A1" s="391" t="s">
        <v>0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40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</row>
    <row r="2" spans="1:32" ht="20.25">
      <c r="A2" s="43" t="s">
        <v>1</v>
      </c>
      <c r="B2" s="44"/>
      <c r="C2" s="392" t="s">
        <v>213</v>
      </c>
      <c r="D2" s="392"/>
      <c r="E2" s="392"/>
      <c r="F2" s="392"/>
      <c r="G2" s="392"/>
      <c r="H2" s="392"/>
      <c r="I2" s="392"/>
      <c r="J2" s="45"/>
      <c r="K2" s="46"/>
      <c r="L2" s="47"/>
      <c r="M2" s="47"/>
      <c r="N2" s="47"/>
      <c r="O2" s="40" t="s">
        <v>189</v>
      </c>
      <c r="P2" s="40">
        <f>COUNTA(C8:C1048576)</f>
        <v>14</v>
      </c>
      <c r="Q2" s="8"/>
      <c r="R2" s="8"/>
      <c r="S2" s="8"/>
      <c r="T2" s="8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</row>
    <row r="3" spans="1:32" ht="15.6" customHeight="1">
      <c r="A3" s="43" t="s">
        <v>4</v>
      </c>
      <c r="B3" s="48"/>
      <c r="C3" s="393" t="s">
        <v>245</v>
      </c>
      <c r="D3" s="393"/>
      <c r="E3" s="393"/>
      <c r="F3" s="393"/>
      <c r="G3" s="393"/>
      <c r="H3" s="393"/>
      <c r="I3" s="393"/>
      <c r="J3" s="50" t="s">
        <v>21</v>
      </c>
      <c r="K3" s="50" t="s">
        <v>22</v>
      </c>
      <c r="L3" s="50" t="s">
        <v>23</v>
      </c>
      <c r="M3" s="50" t="s">
        <v>24</v>
      </c>
      <c r="N3" s="50" t="s">
        <v>25</v>
      </c>
      <c r="O3" s="50" t="s">
        <v>26</v>
      </c>
      <c r="P3" s="50" t="s">
        <v>27</v>
      </c>
      <c r="Q3" s="50" t="s">
        <v>28</v>
      </c>
      <c r="R3" s="8"/>
      <c r="S3" s="8"/>
      <c r="T3" s="8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</row>
    <row r="4" spans="1:32" ht="15.6" customHeight="1">
      <c r="A4" s="43" t="s">
        <v>5</v>
      </c>
      <c r="B4" s="48"/>
      <c r="C4" s="393">
        <v>11036</v>
      </c>
      <c r="D4" s="393"/>
      <c r="E4" s="393"/>
      <c r="F4" s="393"/>
      <c r="G4" s="393"/>
      <c r="H4" s="393"/>
      <c r="I4" s="393"/>
      <c r="J4" s="129">
        <v>0.3</v>
      </c>
      <c r="K4" s="129">
        <v>0.2</v>
      </c>
      <c r="L4" s="129">
        <v>0.1</v>
      </c>
      <c r="M4" s="129">
        <v>0.1</v>
      </c>
      <c r="N4" s="129">
        <v>0.1</v>
      </c>
      <c r="O4" s="129">
        <v>0.1</v>
      </c>
      <c r="P4" s="129">
        <v>0.05</v>
      </c>
      <c r="Q4" s="129">
        <v>0.05</v>
      </c>
      <c r="R4" s="8"/>
      <c r="S4" s="8"/>
      <c r="T4" s="8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</row>
    <row r="5" spans="1:32" ht="15">
      <c r="A5" s="8"/>
      <c r="B5" s="8"/>
      <c r="C5" s="8"/>
      <c r="D5" s="8"/>
      <c r="E5" s="8"/>
      <c r="F5" s="8"/>
      <c r="G5" s="8"/>
      <c r="H5" s="8"/>
      <c r="I5" s="52" t="s">
        <v>6</v>
      </c>
      <c r="J5" s="53" t="s">
        <v>7</v>
      </c>
      <c r="K5" s="54" t="s">
        <v>8</v>
      </c>
      <c r="L5" s="55" t="s">
        <v>9</v>
      </c>
      <c r="M5" s="56" t="s">
        <v>10</v>
      </c>
      <c r="N5" s="8"/>
      <c r="O5" s="8"/>
      <c r="P5" s="8"/>
      <c r="Q5" s="8"/>
      <c r="R5" s="8"/>
      <c r="S5" s="8"/>
      <c r="T5" s="8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</row>
    <row r="6" spans="1:32" ht="18.600000000000001" customHeight="1">
      <c r="A6" s="8"/>
      <c r="B6" s="8"/>
      <c r="C6" s="8"/>
      <c r="D6" s="8"/>
      <c r="E6" s="8"/>
      <c r="F6" s="8"/>
      <c r="G6" s="8"/>
      <c r="H6" s="8"/>
      <c r="I6" s="52" t="s">
        <v>11</v>
      </c>
      <c r="J6" s="53" t="s">
        <v>12</v>
      </c>
      <c r="K6" s="54" t="s">
        <v>13</v>
      </c>
      <c r="L6" s="55" t="s">
        <v>14</v>
      </c>
      <c r="M6" s="56" t="s">
        <v>15</v>
      </c>
      <c r="N6" s="8"/>
      <c r="O6" s="8"/>
      <c r="P6" s="8"/>
      <c r="Q6" s="8"/>
      <c r="R6" s="8"/>
      <c r="S6" s="8"/>
      <c r="T6" s="8"/>
      <c r="U6" s="41"/>
      <c r="V6" s="86">
        <v>5000000</v>
      </c>
      <c r="W6" s="86">
        <f>Management!W6</f>
        <v>4824728</v>
      </c>
      <c r="X6" s="41"/>
      <c r="Y6" s="86">
        <v>5000000</v>
      </c>
      <c r="Z6" s="86">
        <f>Management!Z6</f>
        <v>4824728</v>
      </c>
      <c r="AA6" s="41"/>
      <c r="AB6" s="86">
        <v>5000000</v>
      </c>
      <c r="AC6" s="86">
        <f>Management!AC6</f>
        <v>4824728</v>
      </c>
      <c r="AD6" s="41"/>
      <c r="AE6" s="86">
        <f>Management!AE6</f>
        <v>5300000</v>
      </c>
      <c r="AF6" s="86">
        <f>Management!AF6</f>
        <v>3825593.96</v>
      </c>
    </row>
    <row r="7" spans="1:32" ht="74.099999999999994" customHeight="1">
      <c r="A7" s="57" t="s">
        <v>16</v>
      </c>
      <c r="B7" s="57" t="s">
        <v>17</v>
      </c>
      <c r="C7" s="57" t="s">
        <v>18</v>
      </c>
      <c r="D7" s="57" t="s">
        <v>19</v>
      </c>
      <c r="E7" s="57" t="s">
        <v>20</v>
      </c>
      <c r="F7" s="58" t="s">
        <v>425</v>
      </c>
      <c r="G7" s="58"/>
      <c r="H7" s="57" t="s">
        <v>359</v>
      </c>
      <c r="I7" s="59" t="s">
        <v>21</v>
      </c>
      <c r="J7" s="59" t="s">
        <v>22</v>
      </c>
      <c r="K7" s="59" t="s">
        <v>23</v>
      </c>
      <c r="L7" s="59" t="s">
        <v>24</v>
      </c>
      <c r="M7" s="59" t="s">
        <v>25</v>
      </c>
      <c r="N7" s="59" t="s">
        <v>26</v>
      </c>
      <c r="O7" s="59" t="s">
        <v>27</v>
      </c>
      <c r="P7" s="59" t="s">
        <v>28</v>
      </c>
      <c r="Q7" s="59" t="s">
        <v>29</v>
      </c>
      <c r="R7" s="57" t="s">
        <v>30</v>
      </c>
      <c r="S7" s="57" t="s">
        <v>31</v>
      </c>
      <c r="T7" s="58" t="s">
        <v>364</v>
      </c>
      <c r="U7" s="59" t="s">
        <v>623</v>
      </c>
      <c r="V7" s="57" t="s">
        <v>420</v>
      </c>
      <c r="W7" s="57" t="s">
        <v>657</v>
      </c>
      <c r="X7" s="59" t="s">
        <v>623</v>
      </c>
      <c r="Y7" s="57" t="s">
        <v>420</v>
      </c>
      <c r="Z7" s="57" t="s">
        <v>676</v>
      </c>
      <c r="AA7" s="59" t="s">
        <v>623</v>
      </c>
      <c r="AB7" s="57" t="s">
        <v>420</v>
      </c>
      <c r="AC7" s="57" t="s">
        <v>682</v>
      </c>
      <c r="AD7" s="59" t="s">
        <v>623</v>
      </c>
      <c r="AE7" s="57" t="s">
        <v>420</v>
      </c>
      <c r="AF7" s="57" t="s">
        <v>756</v>
      </c>
    </row>
    <row r="8" spans="1:32">
      <c r="A8" s="60">
        <f>IF(B8&lt;&gt;"",ROW()-7,"")</f>
        <v>1</v>
      </c>
      <c r="B8" s="61">
        <v>1006</v>
      </c>
      <c r="C8" s="62" t="s">
        <v>246</v>
      </c>
      <c r="D8" s="62" t="s">
        <v>181</v>
      </c>
      <c r="E8" s="62" t="s">
        <v>299</v>
      </c>
      <c r="F8" s="36" t="s">
        <v>386</v>
      </c>
      <c r="G8" s="36"/>
      <c r="H8" s="62" t="s">
        <v>360</v>
      </c>
      <c r="I8" s="77">
        <v>5</v>
      </c>
      <c r="J8" s="77">
        <v>3</v>
      </c>
      <c r="K8" s="77">
        <v>5</v>
      </c>
      <c r="L8" s="77">
        <v>5</v>
      </c>
      <c r="M8" s="77">
        <v>5</v>
      </c>
      <c r="N8" s="77">
        <v>4</v>
      </c>
      <c r="O8" s="77">
        <v>5</v>
      </c>
      <c r="P8" s="77">
        <v>4</v>
      </c>
      <c r="Q8" s="63">
        <f t="shared" ref="Q8:Q21" si="0">IF(B8&lt;&gt;"", I8*0.3 + J8*0.2 + K8*0.1 + L8*0.1 + M8*0.1 + N8*0.1 + O8*0.05 + P8*0.05, "")</f>
        <v>4.45</v>
      </c>
      <c r="R8" s="64">
        <f t="shared" ref="R8:R21" si="1">IF(B8&lt;&gt;"", (($J$4/5)*I8) + (($K$4/5)*J8) + (($L$4/5)*K8) + (($M$4/5)*L8) + (($N$4/5)*M8) + (($O$4/5)*N8) + (($P$4/5)*O8) + (($Q$4/5)*P8), "")</f>
        <v>0.89</v>
      </c>
      <c r="S8" s="65" t="str">
        <f t="shared" ref="S8:S21" si="2">IF(B8&lt;&gt;"", IF(Q8=0, "No-Grade",   IF(AND(Q8&gt;=4.5, Q8&lt;=5), "Grade-A",   IF(AND(Q8&gt;=3, Q8&lt;4.5), "Grade-B",   IF(AND(Q8&gt;=2, Q8&lt;3), "Grade-C",   IF(Q8&lt;2, "Grade-D",   "Grade-D"))))), "")</f>
        <v>Grade-B</v>
      </c>
      <c r="T8" s="123">
        <f>IFERROR(VLOOKUP(F8,[4]Database!F:G,2,0),0)</f>
        <v>900</v>
      </c>
      <c r="U8" s="66">
        <v>1</v>
      </c>
      <c r="V8" s="38">
        <f>$W$6/$V$6</f>
        <v>0.96494559999999996</v>
      </c>
      <c r="W8" s="130">
        <f>CEILING($T8*$R8*U8*V8,10)</f>
        <v>780</v>
      </c>
      <c r="X8" s="66">
        <v>1</v>
      </c>
      <c r="Y8" s="38">
        <f>$W$6/$V$6</f>
        <v>0.96494559999999996</v>
      </c>
      <c r="Z8" s="130">
        <f>CEILING($T8*$R8*X8*Y8,10)</f>
        <v>780</v>
      </c>
      <c r="AA8" s="66">
        <v>0.35</v>
      </c>
      <c r="AB8" s="38">
        <f>$W$6/$V$6</f>
        <v>0.96494559999999996</v>
      </c>
      <c r="AC8" s="130">
        <f>CEILING($T8*$R8*AA8*AB8,10)</f>
        <v>280</v>
      </c>
      <c r="AD8" s="66">
        <v>1</v>
      </c>
      <c r="AE8" s="38">
        <f>$AF$6/$AE$6</f>
        <v>0.72181018113207551</v>
      </c>
      <c r="AF8" s="228">
        <f>CEILING($T8*$R8*AD8*AE8,10)</f>
        <v>580</v>
      </c>
    </row>
    <row r="9" spans="1:32" s="8" customFormat="1">
      <c r="A9" s="60">
        <f t="shared" ref="A9:A21" si="3">IF(B9&lt;&gt;"",ROW()-7,"")</f>
        <v>2</v>
      </c>
      <c r="B9" s="61">
        <v>4721</v>
      </c>
      <c r="C9" s="62" t="s">
        <v>247</v>
      </c>
      <c r="D9" s="62" t="s">
        <v>248</v>
      </c>
      <c r="E9" s="62"/>
      <c r="F9" s="36" t="s">
        <v>445</v>
      </c>
      <c r="G9" s="36"/>
      <c r="H9" s="62" t="s">
        <v>360</v>
      </c>
      <c r="I9" s="77">
        <v>5</v>
      </c>
      <c r="J9" s="77">
        <v>3</v>
      </c>
      <c r="K9" s="77">
        <v>5</v>
      </c>
      <c r="L9" s="77">
        <v>5</v>
      </c>
      <c r="M9" s="77">
        <v>5</v>
      </c>
      <c r="N9" s="77">
        <v>5</v>
      </c>
      <c r="O9" s="77">
        <v>5</v>
      </c>
      <c r="P9" s="77">
        <v>5</v>
      </c>
      <c r="Q9" s="63">
        <f t="shared" si="0"/>
        <v>4.5999999999999996</v>
      </c>
      <c r="R9" s="64">
        <f t="shared" si="1"/>
        <v>0.92</v>
      </c>
      <c r="S9" s="65" t="str">
        <f t="shared" si="2"/>
        <v>Grade-A</v>
      </c>
      <c r="T9" s="123">
        <f>IFERROR(VLOOKUP(F9,[4]Database!F:G,2,0),0)</f>
        <v>1500</v>
      </c>
      <c r="U9" s="66">
        <v>1</v>
      </c>
      <c r="V9" s="38">
        <f t="shared" ref="V9:V21" si="4">$W$6/$V$6</f>
        <v>0.96494559999999996</v>
      </c>
      <c r="W9" s="130">
        <f>CEILING($T9*$R9*U9*V9,10)</f>
        <v>1340</v>
      </c>
      <c r="X9" s="66">
        <v>1</v>
      </c>
      <c r="Y9" s="38">
        <f t="shared" ref="Y9:Y21" si="5">$W$6/$V$6</f>
        <v>0.96494559999999996</v>
      </c>
      <c r="Z9" s="130">
        <f>CEILING($T9*$R9*X9*Y9,10)</f>
        <v>1340</v>
      </c>
      <c r="AA9" s="66">
        <v>1</v>
      </c>
      <c r="AB9" s="38">
        <f t="shared" ref="AB9:AB21" si="6">$W$6/$V$6</f>
        <v>0.96494559999999996</v>
      </c>
      <c r="AC9" s="130">
        <f>CEILING($T9*$R9*AA9*AB9,10)</f>
        <v>1340</v>
      </c>
      <c r="AD9" s="66">
        <v>1</v>
      </c>
      <c r="AE9" s="38">
        <f t="shared" ref="AE9:AE21" si="7">$AF$6/$AE$6</f>
        <v>0.72181018113207551</v>
      </c>
      <c r="AF9" s="228">
        <f>CEILING($T9*$R9*AD9*AE9,10)</f>
        <v>1000</v>
      </c>
    </row>
    <row r="10" spans="1:32">
      <c r="A10" s="60">
        <f t="shared" si="3"/>
        <v>3</v>
      </c>
      <c r="B10" s="61">
        <v>9635</v>
      </c>
      <c r="C10" s="62" t="s">
        <v>249</v>
      </c>
      <c r="D10" s="62" t="s">
        <v>248</v>
      </c>
      <c r="E10" s="62"/>
      <c r="F10" s="36" t="s">
        <v>446</v>
      </c>
      <c r="G10" s="36"/>
      <c r="H10" s="62" t="s">
        <v>360</v>
      </c>
      <c r="I10" s="77">
        <v>2</v>
      </c>
      <c r="J10" s="77">
        <v>2</v>
      </c>
      <c r="K10" s="77">
        <v>4</v>
      </c>
      <c r="L10" s="77">
        <v>2</v>
      </c>
      <c r="M10" s="77">
        <v>5</v>
      </c>
      <c r="N10" s="77">
        <v>4</v>
      </c>
      <c r="O10" s="77">
        <v>5</v>
      </c>
      <c r="P10" s="77">
        <v>5</v>
      </c>
      <c r="Q10" s="63">
        <f t="shared" si="0"/>
        <v>2.9999999999999996</v>
      </c>
      <c r="R10" s="88">
        <f t="shared" si="1"/>
        <v>0.60000000000000009</v>
      </c>
      <c r="S10" s="65" t="str">
        <f t="shared" si="2"/>
        <v>Grade-B</v>
      </c>
      <c r="T10" s="123">
        <f>IFERROR(VLOOKUP(F10,[4]Database!F:G,2,0),0)</f>
        <v>1300</v>
      </c>
      <c r="U10" s="66">
        <v>1</v>
      </c>
      <c r="V10" s="38">
        <f t="shared" si="4"/>
        <v>0.96494559999999996</v>
      </c>
      <c r="W10" s="130">
        <f t="shared" ref="W10:W12" si="8">CEILING($T10*$R10*U10*V10,10)</f>
        <v>760</v>
      </c>
      <c r="X10" s="66">
        <v>1</v>
      </c>
      <c r="Y10" s="38">
        <f t="shared" si="5"/>
        <v>0.96494559999999996</v>
      </c>
      <c r="Z10" s="130">
        <f t="shared" ref="Z10:Z12" si="9">CEILING($T10*$R10*X10*Y10,10)</f>
        <v>760</v>
      </c>
      <c r="AA10" s="66">
        <v>0.57999999999999996</v>
      </c>
      <c r="AB10" s="38">
        <f t="shared" si="6"/>
        <v>0.96494559999999996</v>
      </c>
      <c r="AC10" s="130">
        <f t="shared" ref="AC10:AC12" si="10">CEILING($T10*$R10*AA10*AB10,10)</f>
        <v>440</v>
      </c>
      <c r="AD10" s="66">
        <v>1</v>
      </c>
      <c r="AE10" s="38">
        <f t="shared" si="7"/>
        <v>0.72181018113207551</v>
      </c>
      <c r="AF10" s="228">
        <f t="shared" ref="AF10:AF12" si="11">CEILING($T10*$R10*AD10*AE10,10)</f>
        <v>570</v>
      </c>
    </row>
    <row r="11" spans="1:32">
      <c r="A11" s="60">
        <f t="shared" si="3"/>
        <v>4</v>
      </c>
      <c r="B11" s="135">
        <v>15719</v>
      </c>
      <c r="C11" s="136" t="s">
        <v>250</v>
      </c>
      <c r="D11" s="136" t="s">
        <v>32</v>
      </c>
      <c r="E11" s="136" t="s">
        <v>299</v>
      </c>
      <c r="F11" s="137" t="s">
        <v>386</v>
      </c>
      <c r="G11" s="137"/>
      <c r="H11" s="136" t="s">
        <v>736</v>
      </c>
      <c r="I11" s="186">
        <v>5</v>
      </c>
      <c r="J11" s="186">
        <v>3</v>
      </c>
      <c r="K11" s="186">
        <v>5</v>
      </c>
      <c r="L11" s="186">
        <v>5</v>
      </c>
      <c r="M11" s="186">
        <v>5</v>
      </c>
      <c r="N11" s="186">
        <v>4</v>
      </c>
      <c r="O11" s="186">
        <v>5</v>
      </c>
      <c r="P11" s="186">
        <v>4</v>
      </c>
      <c r="Q11" s="253">
        <f t="shared" si="0"/>
        <v>4.45</v>
      </c>
      <c r="R11" s="254">
        <f t="shared" si="1"/>
        <v>0.89</v>
      </c>
      <c r="S11" s="255" t="str">
        <f t="shared" si="2"/>
        <v>Grade-B</v>
      </c>
      <c r="T11" s="194">
        <f>IFERROR(VLOOKUP(F11,[4]Database!F:G,2,0),0)</f>
        <v>900</v>
      </c>
      <c r="U11" s="138">
        <v>1</v>
      </c>
      <c r="V11" s="256">
        <f t="shared" si="4"/>
        <v>0.96494559999999996</v>
      </c>
      <c r="W11" s="262">
        <f t="shared" si="8"/>
        <v>780</v>
      </c>
      <c r="X11" s="138">
        <v>1</v>
      </c>
      <c r="Y11" s="256">
        <f t="shared" si="5"/>
        <v>0.96494559999999996</v>
      </c>
      <c r="Z11" s="262">
        <f t="shared" si="9"/>
        <v>780</v>
      </c>
      <c r="AA11" s="138">
        <v>1</v>
      </c>
      <c r="AB11" s="256">
        <f t="shared" si="6"/>
        <v>0.96494559999999996</v>
      </c>
      <c r="AC11" s="262">
        <f t="shared" si="10"/>
        <v>780</v>
      </c>
      <c r="AD11" s="138">
        <v>0</v>
      </c>
      <c r="AE11" s="256">
        <f t="shared" si="7"/>
        <v>0.72181018113207551</v>
      </c>
      <c r="AF11" s="230">
        <f t="shared" si="11"/>
        <v>0</v>
      </c>
    </row>
    <row r="12" spans="1:32">
      <c r="A12" s="60">
        <f t="shared" si="3"/>
        <v>5</v>
      </c>
      <c r="B12" s="61">
        <v>18879</v>
      </c>
      <c r="C12" s="62" t="s">
        <v>562</v>
      </c>
      <c r="D12" s="62" t="s">
        <v>251</v>
      </c>
      <c r="E12" s="62"/>
      <c r="F12" s="36" t="s">
        <v>445</v>
      </c>
      <c r="G12" s="36"/>
      <c r="H12" s="62" t="s">
        <v>360</v>
      </c>
      <c r="I12" s="77">
        <v>5</v>
      </c>
      <c r="J12" s="77">
        <v>4</v>
      </c>
      <c r="K12" s="77">
        <v>5</v>
      </c>
      <c r="L12" s="77">
        <v>5</v>
      </c>
      <c r="M12" s="77">
        <v>5</v>
      </c>
      <c r="N12" s="77">
        <v>5</v>
      </c>
      <c r="O12" s="77">
        <v>5</v>
      </c>
      <c r="P12" s="77">
        <v>5</v>
      </c>
      <c r="Q12" s="63">
        <f t="shared" si="0"/>
        <v>4.8</v>
      </c>
      <c r="R12" s="88">
        <f t="shared" si="1"/>
        <v>0.96</v>
      </c>
      <c r="S12" s="65" t="str">
        <f t="shared" si="2"/>
        <v>Grade-A</v>
      </c>
      <c r="T12" s="123">
        <f>IFERROR(VLOOKUP(F12,[4]Database!F:G,2,0),0)</f>
        <v>1500</v>
      </c>
      <c r="U12" s="66">
        <v>1</v>
      </c>
      <c r="V12" s="38">
        <f t="shared" si="4"/>
        <v>0.96494559999999996</v>
      </c>
      <c r="W12" s="130">
        <f t="shared" si="8"/>
        <v>1390</v>
      </c>
      <c r="X12" s="66">
        <v>1</v>
      </c>
      <c r="Y12" s="38">
        <f t="shared" si="5"/>
        <v>0.96494559999999996</v>
      </c>
      <c r="Z12" s="130">
        <f t="shared" si="9"/>
        <v>1390</v>
      </c>
      <c r="AA12" s="66">
        <v>1</v>
      </c>
      <c r="AB12" s="38">
        <f t="shared" si="6"/>
        <v>0.96494559999999996</v>
      </c>
      <c r="AC12" s="130">
        <f t="shared" si="10"/>
        <v>1390</v>
      </c>
      <c r="AD12" s="66">
        <v>1</v>
      </c>
      <c r="AE12" s="38">
        <f t="shared" si="7"/>
        <v>0.72181018113207551</v>
      </c>
      <c r="AF12" s="228">
        <f t="shared" si="11"/>
        <v>1040</v>
      </c>
    </row>
    <row r="13" spans="1:32" s="8" customFormat="1">
      <c r="A13" s="60">
        <f t="shared" si="3"/>
        <v>6</v>
      </c>
      <c r="B13" s="61">
        <v>18506</v>
      </c>
      <c r="C13" s="62" t="s">
        <v>563</v>
      </c>
      <c r="D13" s="62" t="s">
        <v>43</v>
      </c>
      <c r="E13" s="62" t="s">
        <v>300</v>
      </c>
      <c r="F13" s="36" t="s">
        <v>445</v>
      </c>
      <c r="G13" s="36"/>
      <c r="H13" s="62" t="s">
        <v>360</v>
      </c>
      <c r="I13" s="77">
        <v>4</v>
      </c>
      <c r="J13" s="77">
        <v>3</v>
      </c>
      <c r="K13" s="77">
        <v>4</v>
      </c>
      <c r="L13" s="77">
        <v>5</v>
      </c>
      <c r="M13" s="77">
        <v>4</v>
      </c>
      <c r="N13" s="77">
        <v>5</v>
      </c>
      <c r="O13" s="77">
        <v>5</v>
      </c>
      <c r="P13" s="77">
        <v>5</v>
      </c>
      <c r="Q13" s="63">
        <f t="shared" si="0"/>
        <v>4.0999999999999996</v>
      </c>
      <c r="R13" s="64">
        <f t="shared" si="1"/>
        <v>0.82000000000000006</v>
      </c>
      <c r="S13" s="65" t="str">
        <f t="shared" si="2"/>
        <v>Grade-B</v>
      </c>
      <c r="T13" s="123">
        <f>IFERROR(VLOOKUP(F13,[4]Database!F:G,2,0),0)</f>
        <v>1500</v>
      </c>
      <c r="U13" s="66">
        <v>1</v>
      </c>
      <c r="V13" s="38">
        <f t="shared" si="4"/>
        <v>0.96494559999999996</v>
      </c>
      <c r="W13" s="130">
        <f>CEILING($T13*$R13*U13*V13,10)</f>
        <v>1190</v>
      </c>
      <c r="X13" s="66">
        <v>1</v>
      </c>
      <c r="Y13" s="38">
        <f t="shared" si="5"/>
        <v>0.96494559999999996</v>
      </c>
      <c r="Z13" s="130">
        <f>CEILING($T13*$R13*X13*Y13,10)</f>
        <v>1190</v>
      </c>
      <c r="AA13" s="66">
        <v>1</v>
      </c>
      <c r="AB13" s="38">
        <f t="shared" si="6"/>
        <v>0.96494559999999996</v>
      </c>
      <c r="AC13" s="130">
        <f>CEILING($T13*$R13*AA13*AB13,10)</f>
        <v>1190</v>
      </c>
      <c r="AD13" s="66">
        <v>1</v>
      </c>
      <c r="AE13" s="38">
        <f t="shared" si="7"/>
        <v>0.72181018113207551</v>
      </c>
      <c r="AF13" s="228">
        <f>CEILING($T13*$R13*AD13*AE13,10)</f>
        <v>890</v>
      </c>
    </row>
    <row r="14" spans="1:32">
      <c r="A14" s="60">
        <f t="shared" si="3"/>
        <v>7</v>
      </c>
      <c r="B14" s="61">
        <v>7360</v>
      </c>
      <c r="C14" s="62" t="s">
        <v>252</v>
      </c>
      <c r="D14" s="62" t="s">
        <v>184</v>
      </c>
      <c r="E14" s="62" t="s">
        <v>301</v>
      </c>
      <c r="F14" s="36" t="s">
        <v>445</v>
      </c>
      <c r="G14" s="36"/>
      <c r="H14" s="62" t="s">
        <v>360</v>
      </c>
      <c r="I14" s="77">
        <v>4</v>
      </c>
      <c r="J14" s="77">
        <v>3</v>
      </c>
      <c r="K14" s="77">
        <v>3</v>
      </c>
      <c r="L14" s="77">
        <v>5</v>
      </c>
      <c r="M14" s="77">
        <v>5</v>
      </c>
      <c r="N14" s="77">
        <v>4</v>
      </c>
      <c r="O14" s="77">
        <v>5</v>
      </c>
      <c r="P14" s="77">
        <v>5</v>
      </c>
      <c r="Q14" s="63">
        <f t="shared" si="0"/>
        <v>4</v>
      </c>
      <c r="R14" s="64">
        <f t="shared" si="1"/>
        <v>0.8</v>
      </c>
      <c r="S14" s="65" t="str">
        <f t="shared" si="2"/>
        <v>Grade-B</v>
      </c>
      <c r="T14" s="123">
        <f>IFERROR(VLOOKUP(F14,[4]Database!F:G,2,0),0)</f>
        <v>1500</v>
      </c>
      <c r="U14" s="66">
        <v>1</v>
      </c>
      <c r="V14" s="38">
        <f t="shared" si="4"/>
        <v>0.96494559999999996</v>
      </c>
      <c r="W14" s="130">
        <f t="shared" ref="W14:W17" si="12">CEILING($T14*$R14*U14*V14,10)</f>
        <v>1160</v>
      </c>
      <c r="X14" s="66">
        <v>1</v>
      </c>
      <c r="Y14" s="38">
        <f t="shared" si="5"/>
        <v>0.96494559999999996</v>
      </c>
      <c r="Z14" s="130">
        <f t="shared" ref="Z14:Z17" si="13">CEILING($T14*$R14*X14*Y14,10)</f>
        <v>1160</v>
      </c>
      <c r="AA14" s="66">
        <v>1</v>
      </c>
      <c r="AB14" s="38">
        <f t="shared" si="6"/>
        <v>0.96494559999999996</v>
      </c>
      <c r="AC14" s="130">
        <f t="shared" ref="AC14:AC17" si="14">CEILING($T14*$R14*AA14*AB14,10)</f>
        <v>1160</v>
      </c>
      <c r="AD14" s="66">
        <v>1</v>
      </c>
      <c r="AE14" s="38">
        <f t="shared" si="7"/>
        <v>0.72181018113207551</v>
      </c>
      <c r="AF14" s="228">
        <f t="shared" ref="AF14:AF21" si="15">CEILING($T14*$R14*AD14*AE14,10)</f>
        <v>870</v>
      </c>
    </row>
    <row r="15" spans="1:32">
      <c r="A15" s="60">
        <f t="shared" si="3"/>
        <v>8</v>
      </c>
      <c r="B15" s="69">
        <v>25410</v>
      </c>
      <c r="C15" s="70" t="s">
        <v>617</v>
      </c>
      <c r="D15" s="70" t="s">
        <v>248</v>
      </c>
      <c r="E15" s="70"/>
      <c r="F15" s="83" t="s">
        <v>446</v>
      </c>
      <c r="G15" s="83"/>
      <c r="H15" s="62" t="s">
        <v>360</v>
      </c>
      <c r="I15" s="71">
        <v>4</v>
      </c>
      <c r="J15" s="71">
        <v>4</v>
      </c>
      <c r="K15" s="71">
        <v>4</v>
      </c>
      <c r="L15" s="71">
        <v>5</v>
      </c>
      <c r="M15" s="71">
        <v>5</v>
      </c>
      <c r="N15" s="71">
        <v>4</v>
      </c>
      <c r="O15" s="71">
        <v>5</v>
      </c>
      <c r="P15" s="71">
        <v>5</v>
      </c>
      <c r="Q15" s="72">
        <f t="shared" si="0"/>
        <v>4.3</v>
      </c>
      <c r="R15" s="73">
        <f t="shared" si="1"/>
        <v>0.8600000000000001</v>
      </c>
      <c r="S15" s="65" t="str">
        <f t="shared" si="2"/>
        <v>Grade-B</v>
      </c>
      <c r="T15" s="123">
        <f>IFERROR(VLOOKUP(F15,[4]Database!F:G,2,0),0)</f>
        <v>1300</v>
      </c>
      <c r="U15" s="90">
        <v>1</v>
      </c>
      <c r="V15" s="75">
        <f t="shared" si="4"/>
        <v>0.96494559999999996</v>
      </c>
      <c r="W15" s="196">
        <f t="shared" si="12"/>
        <v>1080</v>
      </c>
      <c r="X15" s="90">
        <v>0.78</v>
      </c>
      <c r="Y15" s="75">
        <f t="shared" si="5"/>
        <v>0.96494559999999996</v>
      </c>
      <c r="Z15" s="196">
        <f t="shared" si="13"/>
        <v>850</v>
      </c>
      <c r="AA15" s="90">
        <v>1</v>
      </c>
      <c r="AB15" s="75">
        <f t="shared" si="6"/>
        <v>0.96494559999999996</v>
      </c>
      <c r="AC15" s="196">
        <f t="shared" si="14"/>
        <v>1080</v>
      </c>
      <c r="AD15" s="90">
        <v>1</v>
      </c>
      <c r="AE15" s="75">
        <f t="shared" si="7"/>
        <v>0.72181018113207551</v>
      </c>
      <c r="AF15" s="229">
        <f t="shared" si="15"/>
        <v>810</v>
      </c>
    </row>
    <row r="16" spans="1:32" s="8" customFormat="1">
      <c r="A16" s="60">
        <f t="shared" si="3"/>
        <v>9</v>
      </c>
      <c r="B16" s="61">
        <v>17503</v>
      </c>
      <c r="C16" s="62" t="s">
        <v>253</v>
      </c>
      <c r="D16" s="62" t="s">
        <v>186</v>
      </c>
      <c r="E16" s="62" t="s">
        <v>302</v>
      </c>
      <c r="F16" s="36" t="s">
        <v>445</v>
      </c>
      <c r="G16" s="36"/>
      <c r="H16" s="62" t="s">
        <v>360</v>
      </c>
      <c r="I16" s="77">
        <v>5</v>
      </c>
      <c r="J16" s="77">
        <v>4</v>
      </c>
      <c r="K16" s="77">
        <v>4</v>
      </c>
      <c r="L16" s="77">
        <v>5</v>
      </c>
      <c r="M16" s="77">
        <v>5</v>
      </c>
      <c r="N16" s="77">
        <v>4</v>
      </c>
      <c r="O16" s="77">
        <v>5</v>
      </c>
      <c r="P16" s="77">
        <v>5</v>
      </c>
      <c r="Q16" s="63">
        <f t="shared" si="0"/>
        <v>4.5999999999999996</v>
      </c>
      <c r="R16" s="64">
        <f t="shared" si="1"/>
        <v>0.91999999999999993</v>
      </c>
      <c r="S16" s="65" t="str">
        <f t="shared" si="2"/>
        <v>Grade-A</v>
      </c>
      <c r="T16" s="123">
        <f>IFERROR(VLOOKUP(F16,[4]Database!F:G,2,0),0)</f>
        <v>1500</v>
      </c>
      <c r="U16" s="66">
        <v>1</v>
      </c>
      <c r="V16" s="38">
        <f t="shared" si="4"/>
        <v>0.96494559999999996</v>
      </c>
      <c r="W16" s="130">
        <f t="shared" si="12"/>
        <v>1340</v>
      </c>
      <c r="X16" s="66">
        <v>1</v>
      </c>
      <c r="Y16" s="38">
        <f t="shared" si="5"/>
        <v>0.96494559999999996</v>
      </c>
      <c r="Z16" s="130">
        <f t="shared" si="13"/>
        <v>1340</v>
      </c>
      <c r="AA16" s="66">
        <v>1</v>
      </c>
      <c r="AB16" s="38">
        <f t="shared" si="6"/>
        <v>0.96494559999999996</v>
      </c>
      <c r="AC16" s="130">
        <f t="shared" si="14"/>
        <v>1340</v>
      </c>
      <c r="AD16" s="66">
        <v>1</v>
      </c>
      <c r="AE16" s="38">
        <f t="shared" si="7"/>
        <v>0.72181018113207551</v>
      </c>
      <c r="AF16" s="228">
        <f t="shared" si="15"/>
        <v>1000</v>
      </c>
    </row>
    <row r="17" spans="1:32">
      <c r="A17" s="60">
        <f t="shared" si="3"/>
        <v>10</v>
      </c>
      <c r="B17" s="61">
        <v>21139</v>
      </c>
      <c r="C17" s="70" t="s">
        <v>661</v>
      </c>
      <c r="D17" s="62"/>
      <c r="E17" s="62"/>
      <c r="F17" s="36" t="s">
        <v>387</v>
      </c>
      <c r="G17" s="36"/>
      <c r="H17" s="62" t="s">
        <v>360</v>
      </c>
      <c r="I17" s="77">
        <v>4</v>
      </c>
      <c r="J17" s="77">
        <v>3</v>
      </c>
      <c r="K17" s="77">
        <v>4</v>
      </c>
      <c r="L17" s="77">
        <v>5</v>
      </c>
      <c r="M17" s="77">
        <v>4</v>
      </c>
      <c r="N17" s="77">
        <v>3</v>
      </c>
      <c r="O17" s="77">
        <v>5</v>
      </c>
      <c r="P17" s="77">
        <v>4</v>
      </c>
      <c r="Q17" s="63">
        <f t="shared" si="0"/>
        <v>3.8500000000000005</v>
      </c>
      <c r="R17" s="88">
        <f t="shared" si="1"/>
        <v>0.77</v>
      </c>
      <c r="S17" s="65" t="str">
        <f t="shared" si="2"/>
        <v>Grade-B</v>
      </c>
      <c r="T17" s="123">
        <f>IFERROR(VLOOKUP(F17,[4]Database!F:G,2,0),0)</f>
        <v>800</v>
      </c>
      <c r="U17" s="66">
        <v>1</v>
      </c>
      <c r="V17" s="38">
        <f t="shared" si="4"/>
        <v>0.96494559999999996</v>
      </c>
      <c r="W17" s="130">
        <f t="shared" si="12"/>
        <v>600</v>
      </c>
      <c r="X17" s="66">
        <v>1</v>
      </c>
      <c r="Y17" s="38">
        <f t="shared" si="5"/>
        <v>0.96494559999999996</v>
      </c>
      <c r="Z17" s="130">
        <f t="shared" si="13"/>
        <v>600</v>
      </c>
      <c r="AA17" s="66">
        <v>1</v>
      </c>
      <c r="AB17" s="38">
        <f t="shared" si="6"/>
        <v>0.96494559999999996</v>
      </c>
      <c r="AC17" s="130">
        <f t="shared" si="14"/>
        <v>600</v>
      </c>
      <c r="AD17" s="66">
        <v>1</v>
      </c>
      <c r="AE17" s="38">
        <f t="shared" si="7"/>
        <v>0.72181018113207551</v>
      </c>
      <c r="AF17" s="228">
        <f t="shared" si="15"/>
        <v>450</v>
      </c>
    </row>
    <row r="18" spans="1:32">
      <c r="A18" s="60">
        <f t="shared" si="3"/>
        <v>11</v>
      </c>
      <c r="B18" s="61">
        <v>27997</v>
      </c>
      <c r="C18" s="62" t="s">
        <v>691</v>
      </c>
      <c r="D18" s="62"/>
      <c r="E18" s="62"/>
      <c r="F18" s="251" t="s">
        <v>446</v>
      </c>
      <c r="G18" s="36"/>
      <c r="H18" s="62" t="s">
        <v>360</v>
      </c>
      <c r="I18" s="77">
        <v>3</v>
      </c>
      <c r="J18" s="77">
        <v>3</v>
      </c>
      <c r="K18" s="77">
        <v>4</v>
      </c>
      <c r="L18" s="77">
        <v>5</v>
      </c>
      <c r="M18" s="77">
        <v>4</v>
      </c>
      <c r="N18" s="77">
        <v>3</v>
      </c>
      <c r="O18" s="77">
        <v>5</v>
      </c>
      <c r="P18" s="77">
        <v>3</v>
      </c>
      <c r="Q18" s="63">
        <f t="shared" si="0"/>
        <v>3.4999999999999996</v>
      </c>
      <c r="R18" s="88">
        <f t="shared" si="1"/>
        <v>0.7</v>
      </c>
      <c r="S18" s="65" t="str">
        <f t="shared" si="2"/>
        <v>Grade-B</v>
      </c>
      <c r="T18" s="123">
        <f>IFERROR(VLOOKUP(F18,[4]Database!F:G,2,0),0)</f>
        <v>1300</v>
      </c>
      <c r="U18" s="66"/>
      <c r="V18" s="38"/>
      <c r="W18" s="130"/>
      <c r="X18" s="66"/>
      <c r="Y18" s="38"/>
      <c r="Z18" s="130"/>
      <c r="AA18" s="66"/>
      <c r="AB18" s="38"/>
      <c r="AC18" s="130"/>
      <c r="AD18" s="66">
        <v>1</v>
      </c>
      <c r="AE18" s="38">
        <f t="shared" si="7"/>
        <v>0.72181018113207551</v>
      </c>
      <c r="AF18" s="228">
        <f t="shared" si="15"/>
        <v>660</v>
      </c>
    </row>
    <row r="19" spans="1:32">
      <c r="A19" s="60">
        <f t="shared" si="3"/>
        <v>12</v>
      </c>
      <c r="B19" s="69">
        <v>1528</v>
      </c>
      <c r="C19" s="70" t="s">
        <v>548</v>
      </c>
      <c r="D19" s="70" t="s">
        <v>346</v>
      </c>
      <c r="E19" s="70" t="s">
        <v>387</v>
      </c>
      <c r="F19" s="83" t="s">
        <v>387</v>
      </c>
      <c r="G19" s="70"/>
      <c r="H19" s="62" t="s">
        <v>360</v>
      </c>
      <c r="I19" s="71">
        <v>4</v>
      </c>
      <c r="J19" s="71">
        <v>4</v>
      </c>
      <c r="K19" s="71">
        <v>4</v>
      </c>
      <c r="L19" s="71">
        <v>5</v>
      </c>
      <c r="M19" s="71">
        <v>5</v>
      </c>
      <c r="N19" s="71">
        <v>5</v>
      </c>
      <c r="O19" s="71">
        <v>5</v>
      </c>
      <c r="P19" s="71">
        <v>4</v>
      </c>
      <c r="Q19" s="63">
        <f t="shared" si="0"/>
        <v>4.3500000000000005</v>
      </c>
      <c r="R19" s="88">
        <f t="shared" si="1"/>
        <v>0.87000000000000011</v>
      </c>
      <c r="S19" s="65" t="str">
        <f t="shared" si="2"/>
        <v>Grade-B</v>
      </c>
      <c r="T19" s="123">
        <f>IFERROR(VLOOKUP(F19,[4]Database!F:G,2,0),0)</f>
        <v>800</v>
      </c>
      <c r="U19" s="90">
        <v>1</v>
      </c>
      <c r="V19" s="121">
        <v>1.2369515797759347</v>
      </c>
      <c r="W19" s="119">
        <v>860</v>
      </c>
      <c r="X19" s="90">
        <v>1</v>
      </c>
      <c r="Y19" s="121">
        <v>1.2369515797759347</v>
      </c>
      <c r="Z19" s="119">
        <v>860</v>
      </c>
      <c r="AA19" s="90">
        <v>0</v>
      </c>
      <c r="AB19" s="121">
        <v>1.2369515797759347</v>
      </c>
      <c r="AC19" s="119">
        <v>0</v>
      </c>
      <c r="AD19" s="66">
        <v>1</v>
      </c>
      <c r="AE19" s="38">
        <f t="shared" si="7"/>
        <v>0.72181018113207551</v>
      </c>
      <c r="AF19" s="228">
        <f t="shared" si="15"/>
        <v>510</v>
      </c>
    </row>
    <row r="20" spans="1:32">
      <c r="A20" s="60">
        <v>13</v>
      </c>
      <c r="B20" s="69">
        <v>24648</v>
      </c>
      <c r="C20" s="70" t="s">
        <v>503</v>
      </c>
      <c r="D20" s="70"/>
      <c r="E20" s="70"/>
      <c r="F20" s="83" t="s">
        <v>446</v>
      </c>
      <c r="G20" s="70"/>
      <c r="H20" s="62" t="s">
        <v>360</v>
      </c>
      <c r="I20" s="71">
        <v>4</v>
      </c>
      <c r="J20" s="71">
        <v>4</v>
      </c>
      <c r="K20" s="71">
        <v>4</v>
      </c>
      <c r="L20" s="71">
        <v>5</v>
      </c>
      <c r="M20" s="71">
        <v>5</v>
      </c>
      <c r="N20" s="71">
        <v>4</v>
      </c>
      <c r="O20" s="71">
        <v>5</v>
      </c>
      <c r="P20" s="71">
        <v>5</v>
      </c>
      <c r="Q20" s="63">
        <f t="shared" si="0"/>
        <v>4.3</v>
      </c>
      <c r="R20" s="88">
        <f t="shared" si="1"/>
        <v>0.8600000000000001</v>
      </c>
      <c r="S20" s="65" t="str">
        <f t="shared" si="2"/>
        <v>Grade-B</v>
      </c>
      <c r="T20" s="123">
        <f>IFERROR(VLOOKUP(F20,[4]Database!F:G,2,0),0)</f>
        <v>1300</v>
      </c>
      <c r="U20" s="90"/>
      <c r="V20" s="121"/>
      <c r="W20" s="119"/>
      <c r="X20" s="90"/>
      <c r="Y20" s="121"/>
      <c r="Z20" s="119"/>
      <c r="AA20" s="90"/>
      <c r="AB20" s="121"/>
      <c r="AC20" s="119"/>
      <c r="AD20" s="66">
        <v>1</v>
      </c>
      <c r="AE20" s="38">
        <f t="shared" si="7"/>
        <v>0.72181018113207551</v>
      </c>
      <c r="AF20" s="228">
        <f t="shared" si="15"/>
        <v>810</v>
      </c>
    </row>
    <row r="21" spans="1:32">
      <c r="A21" s="60">
        <f t="shared" si="3"/>
        <v>14</v>
      </c>
      <c r="B21" s="61">
        <v>12469</v>
      </c>
      <c r="C21" s="70" t="s">
        <v>205</v>
      </c>
      <c r="D21" s="62"/>
      <c r="E21" s="62"/>
      <c r="F21" s="36" t="s">
        <v>401</v>
      </c>
      <c r="G21" s="36"/>
      <c r="H21" s="62" t="s">
        <v>360</v>
      </c>
      <c r="I21" s="77">
        <v>4</v>
      </c>
      <c r="J21" s="77">
        <v>3</v>
      </c>
      <c r="K21" s="77">
        <v>5</v>
      </c>
      <c r="L21" s="77">
        <v>5</v>
      </c>
      <c r="M21" s="77">
        <v>4</v>
      </c>
      <c r="N21" s="77">
        <v>4</v>
      </c>
      <c r="O21" s="77">
        <v>5</v>
      </c>
      <c r="P21" s="77">
        <v>4</v>
      </c>
      <c r="Q21" s="63">
        <f t="shared" si="0"/>
        <v>4.05</v>
      </c>
      <c r="R21" s="88">
        <f t="shared" si="1"/>
        <v>0.80999999999999994</v>
      </c>
      <c r="S21" s="65" t="str">
        <f t="shared" si="2"/>
        <v>Grade-B</v>
      </c>
      <c r="T21" s="123">
        <f>IFERROR(VLOOKUP(F21,[4]Database!F:G,2,0),0)</f>
        <v>1100</v>
      </c>
      <c r="U21" s="66">
        <v>1</v>
      </c>
      <c r="V21" s="38">
        <f t="shared" si="4"/>
        <v>0.96494559999999996</v>
      </c>
      <c r="W21" s="130">
        <f>CEILING($T21*$R21*U21*V21,10)</f>
        <v>860</v>
      </c>
      <c r="X21" s="66">
        <v>0.26</v>
      </c>
      <c r="Y21" s="38">
        <f t="shared" si="5"/>
        <v>0.96494559999999996</v>
      </c>
      <c r="Z21" s="130">
        <f>CEILING($T21*$R21*X21*Y21,10)</f>
        <v>230</v>
      </c>
      <c r="AA21" s="66">
        <v>1</v>
      </c>
      <c r="AB21" s="38">
        <f t="shared" si="6"/>
        <v>0.96494559999999996</v>
      </c>
      <c r="AC21" s="130">
        <f>CEILING($T21*$R21*AA21*AB21,10)</f>
        <v>860</v>
      </c>
      <c r="AD21" s="66">
        <v>1</v>
      </c>
      <c r="AE21" s="38">
        <f t="shared" si="7"/>
        <v>0.72181018113207551</v>
      </c>
      <c r="AF21" s="228">
        <f t="shared" si="15"/>
        <v>650</v>
      </c>
    </row>
    <row r="22" spans="1:32" ht="13.5" customHeight="1">
      <c r="E22" s="42"/>
      <c r="F22" s="42"/>
      <c r="G22" s="42"/>
      <c r="H22" s="42"/>
      <c r="I22" s="109"/>
      <c r="J22" s="109"/>
      <c r="K22" s="109"/>
      <c r="L22" s="109"/>
      <c r="M22" s="109"/>
      <c r="N22" s="109"/>
      <c r="O22" s="109"/>
      <c r="P22" s="109"/>
      <c r="T22" s="131">
        <f>SUM(T8:T21)</f>
        <v>17200</v>
      </c>
      <c r="W22" s="175">
        <f>SUM(W8:W17)</f>
        <v>10420</v>
      </c>
      <c r="Z22" s="175">
        <f>SUM(Z8:Z17)</f>
        <v>10190</v>
      </c>
      <c r="AC22" s="175">
        <f>SUM(AC8:AC17)</f>
        <v>9600</v>
      </c>
      <c r="AF22" s="348">
        <f>SUM(AF8:AF21)</f>
        <v>9840</v>
      </c>
    </row>
    <row r="23" spans="1:32">
      <c r="E23" s="42"/>
      <c r="F23" s="42"/>
      <c r="G23" s="42"/>
      <c r="H23" s="42"/>
      <c r="I23" s="109"/>
      <c r="J23" s="109"/>
      <c r="K23" s="109"/>
      <c r="L23" s="109"/>
      <c r="M23" s="109"/>
      <c r="N23" s="109"/>
      <c r="O23" s="109"/>
      <c r="P23" s="109"/>
    </row>
    <row r="24" spans="1:32">
      <c r="E24" s="42"/>
      <c r="F24" s="42"/>
      <c r="G24" s="42"/>
      <c r="H24" s="42"/>
      <c r="I24" s="109"/>
      <c r="J24" s="109"/>
      <c r="K24" s="109"/>
      <c r="L24" s="109"/>
      <c r="M24" s="109"/>
      <c r="N24" s="109"/>
      <c r="O24" s="109"/>
      <c r="P24" s="109"/>
    </row>
    <row r="25" spans="1:32">
      <c r="E25" s="42"/>
      <c r="F25" s="42"/>
      <c r="G25" s="42"/>
      <c r="H25" s="42"/>
      <c r="I25" s="109"/>
      <c r="J25" s="109"/>
      <c r="K25" s="109"/>
      <c r="L25" s="109"/>
      <c r="M25" s="109"/>
      <c r="N25" s="109"/>
      <c r="O25" s="109"/>
      <c r="P25" s="109"/>
    </row>
    <row r="26" spans="1:32">
      <c r="E26" s="42"/>
      <c r="F26" s="42"/>
      <c r="G26" s="42"/>
      <c r="H26" s="42"/>
      <c r="I26" s="109"/>
      <c r="J26" s="109"/>
      <c r="K26" s="109"/>
      <c r="L26" s="109"/>
      <c r="M26" s="109"/>
      <c r="N26" s="109"/>
      <c r="O26" s="109"/>
      <c r="P26" s="109"/>
    </row>
  </sheetData>
  <mergeCells count="4">
    <mergeCell ref="A1:S1"/>
    <mergeCell ref="C2:I2"/>
    <mergeCell ref="C3:I3"/>
    <mergeCell ref="C4:I4"/>
  </mergeCells>
  <dataValidations count="5">
    <dataValidation allowBlank="1" showInputMessage="1" showErrorMessage="1" prompt="Represents the highest level of performance. Outstanding and exceptional achievements." sqref="I6"/>
    <dataValidation allowBlank="1" showInputMessage="1" showErrorMessage="1" prompt="Strong performance with positive results. Shows commitment and excellence." sqref="J6"/>
    <dataValidation allowBlank="1" showInputMessage="1" showErrorMessage="1" prompt="Acceptable performance with satisfactory results. Some aspects can be improved." sqref="K6"/>
    <dataValidation allowBlank="1" showInputMessage="1" showErrorMessage="1" prompt="Performance below expectations. Needs development and significant improvements." sqref="L6"/>
    <dataValidation allowBlank="1" showInputMessage="1" showErrorMessage="1" prompt="The lowest level of performance. Requires drastic changes for improvement." sqref="M6"/>
  </dataValidations>
  <pageMargins left="0.7" right="0.7" top="0.75" bottom="0.75" header="0.3" footer="0.3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Database!$F$2:$F$47</xm:f>
          </x14:formula1>
          <xm:sqref>F8:G18 F21:G21 F19:F20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Q23"/>
  <sheetViews>
    <sheetView zoomScale="85" zoomScaleNormal="85" workbookViewId="0">
      <pane xSplit="3" ySplit="7" topLeftCell="G8" activePane="bottomRight" state="frozen"/>
      <selection pane="topRight" activeCell="D1" sqref="D1"/>
      <selection pane="bottomLeft" activeCell="A8" sqref="A8"/>
      <selection pane="bottomRight" activeCell="G24" sqref="G24"/>
    </sheetView>
  </sheetViews>
  <sheetFormatPr defaultColWidth="8.875" defaultRowHeight="13.5"/>
  <cols>
    <col min="1" max="1" width="6.3125" style="42" customWidth="1"/>
    <col min="2" max="2" width="7.6875" style="42" customWidth="1"/>
    <col min="3" max="3" width="21.6875" style="42" customWidth="1"/>
    <col min="4" max="4" width="25" style="42" hidden="1" customWidth="1"/>
    <col min="5" max="6" width="13.6875" style="81" hidden="1" customWidth="1"/>
    <col min="7" max="7" width="12.875" style="81" bestFit="1" customWidth="1"/>
    <col min="8" max="8" width="16" style="81" hidden="1" customWidth="1"/>
    <col min="9" max="9" width="36.3125" style="149" customWidth="1"/>
    <col min="10" max="10" width="9.3125" style="82" customWidth="1"/>
    <col min="11" max="11" width="10.3125" style="82" customWidth="1"/>
    <col min="12" max="14" width="8.6875" style="82" customWidth="1"/>
    <col min="15" max="15" width="7.6875" style="82" customWidth="1"/>
    <col min="16" max="17" width="8.6875" style="82" customWidth="1"/>
    <col min="18" max="18" width="6.875" style="42" customWidth="1"/>
    <col min="19" max="19" width="13.6875" style="42" customWidth="1"/>
    <col min="20" max="20" width="9" style="42" customWidth="1"/>
    <col min="21" max="21" width="13.3125" style="42" bestFit="1" customWidth="1"/>
    <col min="22" max="23" width="0" style="42" hidden="1" customWidth="1"/>
    <col min="24" max="24" width="14.3125" style="42" hidden="1" customWidth="1"/>
    <col min="25" max="26" width="0" style="42" hidden="1" customWidth="1"/>
    <col min="27" max="27" width="14.3125" style="42" hidden="1" customWidth="1"/>
    <col min="28" max="29" width="0" style="42" hidden="1" customWidth="1"/>
    <col min="30" max="30" width="14.3125" style="42" hidden="1" customWidth="1"/>
    <col min="31" max="31" width="8.875" style="42"/>
    <col min="32" max="32" width="10.25" style="42" bestFit="1" customWidth="1"/>
    <col min="33" max="33" width="14.3125" style="42" customWidth="1"/>
    <col min="34" max="69" width="8.875" style="41"/>
    <col min="70" max="16384" width="8.875" style="42"/>
  </cols>
  <sheetData>
    <row r="1" spans="1:69" ht="20.25">
      <c r="A1" s="391" t="s">
        <v>0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40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69" ht="20.25">
      <c r="A2" s="43" t="s">
        <v>1</v>
      </c>
      <c r="B2" s="44"/>
      <c r="C2" s="392" t="s">
        <v>706</v>
      </c>
      <c r="D2" s="392"/>
      <c r="E2" s="392"/>
      <c r="F2" s="392"/>
      <c r="G2" s="392"/>
      <c r="H2" s="392"/>
      <c r="I2" s="392"/>
      <c r="J2" s="392"/>
      <c r="K2" s="45"/>
      <c r="L2" s="46"/>
      <c r="M2" s="47"/>
      <c r="N2" s="47"/>
      <c r="O2" s="47"/>
      <c r="P2" s="40" t="s">
        <v>189</v>
      </c>
      <c r="Q2" s="40">
        <f>COUNTA(C8:C1048576)</f>
        <v>11</v>
      </c>
      <c r="R2" s="8"/>
      <c r="S2" s="8"/>
      <c r="T2" s="8"/>
      <c r="U2" s="8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</row>
    <row r="3" spans="1:69" ht="15.6" customHeight="1">
      <c r="A3" s="43" t="s">
        <v>4</v>
      </c>
      <c r="B3" s="48"/>
      <c r="C3" s="393" t="s">
        <v>242</v>
      </c>
      <c r="D3" s="393"/>
      <c r="E3" s="393"/>
      <c r="F3" s="393"/>
      <c r="G3" s="393"/>
      <c r="H3" s="393"/>
      <c r="I3" s="393"/>
      <c r="J3" s="393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</row>
    <row r="4" spans="1:69" ht="15.6" customHeight="1">
      <c r="A4" s="43" t="s">
        <v>5</v>
      </c>
      <c r="B4" s="48"/>
      <c r="C4" s="393">
        <v>15271</v>
      </c>
      <c r="D4" s="393"/>
      <c r="E4" s="393"/>
      <c r="F4" s="393"/>
      <c r="G4" s="393"/>
      <c r="H4" s="393"/>
      <c r="I4" s="393"/>
      <c r="J4" s="393"/>
      <c r="K4" s="132">
        <v>0.3</v>
      </c>
      <c r="L4" s="132">
        <v>0.2</v>
      </c>
      <c r="M4" s="132">
        <v>0.1</v>
      </c>
      <c r="N4" s="132">
        <v>0.1</v>
      </c>
      <c r="O4" s="132">
        <v>0.1</v>
      </c>
      <c r="P4" s="132">
        <v>0.1</v>
      </c>
      <c r="Q4" s="132">
        <v>0.05</v>
      </c>
      <c r="R4" s="132">
        <v>0.05</v>
      </c>
      <c r="S4" s="133"/>
      <c r="T4" s="8"/>
      <c r="U4" s="8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</row>
    <row r="5" spans="1:69" ht="15">
      <c r="A5" s="8"/>
      <c r="B5" s="8"/>
      <c r="C5" s="8"/>
      <c r="D5" s="8"/>
      <c r="E5" s="8"/>
      <c r="F5" s="8"/>
      <c r="G5" s="8"/>
      <c r="H5" s="8"/>
      <c r="I5" s="13"/>
      <c r="J5" s="52" t="s">
        <v>6</v>
      </c>
      <c r="K5" s="53" t="s">
        <v>7</v>
      </c>
      <c r="L5" s="54" t="s">
        <v>8</v>
      </c>
      <c r="M5" s="55" t="s">
        <v>9</v>
      </c>
      <c r="N5" s="56" t="s">
        <v>10</v>
      </c>
      <c r="O5" s="8"/>
      <c r="P5" s="8"/>
      <c r="Q5" s="8"/>
      <c r="R5" s="8"/>
      <c r="S5" s="8"/>
      <c r="T5" s="8"/>
      <c r="U5" s="8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</row>
    <row r="6" spans="1:69" ht="18.600000000000001" customHeight="1">
      <c r="A6" s="8"/>
      <c r="B6" s="8"/>
      <c r="C6" s="8"/>
      <c r="D6" s="8"/>
      <c r="E6" s="8"/>
      <c r="F6" s="8"/>
      <c r="G6" s="8"/>
      <c r="H6" s="8"/>
      <c r="I6" s="13"/>
      <c r="J6" s="52" t="s">
        <v>11</v>
      </c>
      <c r="K6" s="53" t="s">
        <v>12</v>
      </c>
      <c r="L6" s="54" t="s">
        <v>13</v>
      </c>
      <c r="M6" s="55" t="s">
        <v>14</v>
      </c>
      <c r="N6" s="56" t="s">
        <v>15</v>
      </c>
      <c r="O6" s="8"/>
      <c r="P6" s="8"/>
      <c r="Q6" s="8"/>
      <c r="R6" s="8"/>
      <c r="S6" s="8"/>
      <c r="T6" s="8"/>
      <c r="U6" s="8"/>
      <c r="V6" s="41"/>
      <c r="W6" s="86">
        <v>5000000</v>
      </c>
      <c r="X6" s="86">
        <f>Management!W6</f>
        <v>4824728</v>
      </c>
      <c r="Y6" s="41"/>
      <c r="Z6" s="86">
        <v>5000000</v>
      </c>
      <c r="AA6" s="86">
        <f>Management!Z6</f>
        <v>4824728</v>
      </c>
      <c r="AB6" s="41"/>
      <c r="AC6" s="86">
        <v>5000000</v>
      </c>
      <c r="AD6" s="86">
        <f>Management!AC6</f>
        <v>4824728</v>
      </c>
      <c r="AE6" s="41"/>
      <c r="AF6" s="86">
        <f>Management!AE6</f>
        <v>5300000</v>
      </c>
      <c r="AG6" s="86">
        <f>Management!AF6</f>
        <v>3825593.96</v>
      </c>
    </row>
    <row r="7" spans="1:69" s="180" customFormat="1" ht="99.95" customHeight="1">
      <c r="A7" s="177" t="s">
        <v>16</v>
      </c>
      <c r="B7" s="177" t="s">
        <v>17</v>
      </c>
      <c r="C7" s="177" t="s">
        <v>18</v>
      </c>
      <c r="D7" s="177" t="s">
        <v>19</v>
      </c>
      <c r="E7" s="177" t="s">
        <v>20</v>
      </c>
      <c r="F7" s="177"/>
      <c r="G7" s="178" t="s">
        <v>425</v>
      </c>
      <c r="H7" s="177" t="s">
        <v>363</v>
      </c>
      <c r="I7" s="177" t="s">
        <v>359</v>
      </c>
      <c r="J7" s="179" t="s">
        <v>21</v>
      </c>
      <c r="K7" s="179" t="s">
        <v>22</v>
      </c>
      <c r="L7" s="179" t="s">
        <v>23</v>
      </c>
      <c r="M7" s="179" t="s">
        <v>24</v>
      </c>
      <c r="N7" s="179" t="s">
        <v>25</v>
      </c>
      <c r="O7" s="179" t="s">
        <v>26</v>
      </c>
      <c r="P7" s="179" t="s">
        <v>27</v>
      </c>
      <c r="Q7" s="179" t="s">
        <v>28</v>
      </c>
      <c r="R7" s="177" t="s">
        <v>29</v>
      </c>
      <c r="S7" s="177" t="s">
        <v>30</v>
      </c>
      <c r="T7" s="177" t="s">
        <v>31</v>
      </c>
      <c r="U7" s="178" t="s">
        <v>364</v>
      </c>
      <c r="V7" s="179" t="s">
        <v>623</v>
      </c>
      <c r="W7" s="177" t="s">
        <v>420</v>
      </c>
      <c r="X7" s="177" t="s">
        <v>658</v>
      </c>
      <c r="Y7" s="179" t="s">
        <v>623</v>
      </c>
      <c r="Z7" s="177" t="s">
        <v>420</v>
      </c>
      <c r="AA7" s="177" t="s">
        <v>678</v>
      </c>
      <c r="AB7" s="179" t="s">
        <v>623</v>
      </c>
      <c r="AC7" s="177" t="s">
        <v>420</v>
      </c>
      <c r="AD7" s="177" t="s">
        <v>683</v>
      </c>
      <c r="AE7" s="179" t="s">
        <v>623</v>
      </c>
      <c r="AF7" s="177" t="s">
        <v>420</v>
      </c>
      <c r="AG7" s="177" t="s">
        <v>757</v>
      </c>
      <c r="AH7" s="185"/>
      <c r="AI7" s="185"/>
      <c r="AJ7" s="185"/>
      <c r="AK7" s="185"/>
      <c r="AL7" s="185"/>
      <c r="AM7" s="185"/>
      <c r="AN7" s="185"/>
      <c r="AO7" s="185"/>
      <c r="AP7" s="185"/>
      <c r="AQ7" s="185"/>
      <c r="AR7" s="185"/>
      <c r="AS7" s="185"/>
      <c r="AT7" s="185"/>
      <c r="AU7" s="185"/>
      <c r="AV7" s="185"/>
      <c r="AW7" s="185"/>
      <c r="AX7" s="185"/>
      <c r="AY7" s="185"/>
      <c r="AZ7" s="185"/>
      <c r="BA7" s="185"/>
      <c r="BB7" s="185"/>
      <c r="BC7" s="185"/>
      <c r="BD7" s="185"/>
      <c r="BE7" s="185"/>
      <c r="BF7" s="185"/>
      <c r="BG7" s="185"/>
      <c r="BH7" s="185"/>
      <c r="BI7" s="185"/>
      <c r="BJ7" s="185"/>
      <c r="BK7" s="185"/>
      <c r="BL7" s="185"/>
      <c r="BM7" s="185"/>
      <c r="BN7" s="185"/>
      <c r="BO7" s="185"/>
      <c r="BP7" s="185"/>
      <c r="BQ7" s="185"/>
    </row>
    <row r="8" spans="1:69" ht="14.25" customHeight="1">
      <c r="A8" s="68">
        <v>1</v>
      </c>
      <c r="B8" s="69">
        <v>23709</v>
      </c>
      <c r="C8" s="70" t="s">
        <v>564</v>
      </c>
      <c r="D8" s="70" t="s">
        <v>243</v>
      </c>
      <c r="E8" s="70" t="s">
        <v>307</v>
      </c>
      <c r="F8" s="70"/>
      <c r="G8" s="365" t="s">
        <v>396</v>
      </c>
      <c r="H8" s="70"/>
      <c r="I8" s="197" t="s">
        <v>360</v>
      </c>
      <c r="J8" s="265">
        <v>5</v>
      </c>
      <c r="K8" s="265">
        <v>4</v>
      </c>
      <c r="L8" s="265">
        <v>4</v>
      </c>
      <c r="M8" s="265">
        <v>5</v>
      </c>
      <c r="N8" s="265">
        <v>4</v>
      </c>
      <c r="O8" s="265">
        <v>4</v>
      </c>
      <c r="P8" s="265">
        <v>4</v>
      </c>
      <c r="Q8" s="265">
        <v>4</v>
      </c>
      <c r="R8" s="63">
        <f t="shared" ref="R8" si="0">IF(B8&lt;&gt;"", J8*0.3 + K8*0.2 + L8*0.1 + M8*0.1 + N8*0.1 + O8*0.1 + P8*0.05 + Q8*0.05, "")</f>
        <v>4.3999999999999995</v>
      </c>
      <c r="S8" s="88">
        <f t="shared" ref="S8:S18" si="1">IF(B8&lt;&gt;"", (($K$4/5)*J8) + (($L$4/5)*K8) + (($M$4/5)*L8) + (($N$4/5)*M8) + (($O$4/5)*N8) + (($P$4/5)*O8) + (($Q$4/5)*P8) + (($R$4/5)*Q8), "")</f>
        <v>0.87999999999999989</v>
      </c>
      <c r="T8" s="358" t="s">
        <v>740</v>
      </c>
      <c r="U8" s="66">
        <f>IFERROR(VLOOKUP(G8,[5]Database!F:G,2,0),0)</f>
        <v>2000</v>
      </c>
      <c r="V8" s="90">
        <v>0.13</v>
      </c>
      <c r="W8" s="91">
        <v>0.96494559999999996</v>
      </c>
      <c r="X8" s="195">
        <v>240</v>
      </c>
      <c r="Y8" s="90">
        <v>0.1</v>
      </c>
      <c r="Z8" s="91">
        <v>0.96494559999999996</v>
      </c>
      <c r="AA8" s="195">
        <v>180</v>
      </c>
      <c r="AB8" s="90">
        <v>1</v>
      </c>
      <c r="AC8" s="91">
        <v>0.96494559999999996</v>
      </c>
      <c r="AD8" s="195">
        <v>1800</v>
      </c>
      <c r="AE8" s="355">
        <v>1</v>
      </c>
      <c r="AF8" s="91">
        <f t="shared" ref="AF8:AF18" si="2">$AG$6/$AF$6</f>
        <v>0.72181018113207551</v>
      </c>
      <c r="AG8" s="232">
        <f t="shared" ref="AG8:AG18" si="3">CEILING($U8*$S8*AE8*AF8,10)</f>
        <v>1280</v>
      </c>
    </row>
    <row r="9" spans="1:69" s="8" customFormat="1">
      <c r="A9" s="60">
        <v>2</v>
      </c>
      <c r="B9" s="61">
        <v>7272</v>
      </c>
      <c r="C9" s="62" t="s">
        <v>241</v>
      </c>
      <c r="D9" s="62" t="s">
        <v>244</v>
      </c>
      <c r="E9" s="62" t="s">
        <v>308</v>
      </c>
      <c r="F9" s="62"/>
      <c r="G9" s="365" t="s">
        <v>393</v>
      </c>
      <c r="H9" s="62"/>
      <c r="I9" s="183" t="s">
        <v>360</v>
      </c>
      <c r="J9" s="266">
        <v>5</v>
      </c>
      <c r="K9" s="266">
        <v>4</v>
      </c>
      <c r="L9" s="266">
        <v>5</v>
      </c>
      <c r="M9" s="266">
        <v>5</v>
      </c>
      <c r="N9" s="266">
        <v>5</v>
      </c>
      <c r="O9" s="266">
        <v>5</v>
      </c>
      <c r="P9" s="266">
        <v>4</v>
      </c>
      <c r="Q9" s="266">
        <v>5</v>
      </c>
      <c r="R9" s="63">
        <f t="shared" ref="R9:R18" si="4">IF(B9&lt;&gt;"", J9*0.3 + K9*0.2 + L9*0.1 + M9*0.1 + N9*0.1 + O9*0.1 + P9*0.05 + Q9*0.05, "")</f>
        <v>4.75</v>
      </c>
      <c r="S9" s="88">
        <f t="shared" si="1"/>
        <v>0.95</v>
      </c>
      <c r="T9" s="359" t="s">
        <v>740</v>
      </c>
      <c r="U9" s="66">
        <f>IFERROR(VLOOKUP(G9,[5]Database!F:G,2,0),0)</f>
        <v>1000</v>
      </c>
      <c r="V9" s="66">
        <v>1.2</v>
      </c>
      <c r="W9" s="84">
        <v>0.96494559999999996</v>
      </c>
      <c r="X9" s="134">
        <v>1120</v>
      </c>
      <c r="Y9" s="66">
        <v>1</v>
      </c>
      <c r="Z9" s="84">
        <v>0.96494559999999996</v>
      </c>
      <c r="AA9" s="134">
        <v>930</v>
      </c>
      <c r="AB9" s="200">
        <v>1.1000000000000001</v>
      </c>
      <c r="AC9" s="84">
        <v>0.96494559999999996</v>
      </c>
      <c r="AD9" s="134">
        <v>1020</v>
      </c>
      <c r="AE9" s="355">
        <v>1</v>
      </c>
      <c r="AF9" s="91">
        <f t="shared" si="2"/>
        <v>0.72181018113207551</v>
      </c>
      <c r="AG9" s="233">
        <f t="shared" si="3"/>
        <v>690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</row>
    <row r="10" spans="1:69" s="140" customFormat="1">
      <c r="A10" s="68">
        <v>3</v>
      </c>
      <c r="B10" s="69">
        <v>24885</v>
      </c>
      <c r="C10" s="70" t="s">
        <v>565</v>
      </c>
      <c r="D10" s="70" t="s">
        <v>303</v>
      </c>
      <c r="E10" s="70" t="s">
        <v>307</v>
      </c>
      <c r="F10" s="70"/>
      <c r="G10" s="365" t="s">
        <v>392</v>
      </c>
      <c r="H10" s="70"/>
      <c r="I10" s="183" t="s">
        <v>360</v>
      </c>
      <c r="J10" s="265">
        <v>4</v>
      </c>
      <c r="K10" s="265">
        <v>5</v>
      </c>
      <c r="L10" s="265">
        <v>5</v>
      </c>
      <c r="M10" s="265">
        <v>5</v>
      </c>
      <c r="N10" s="265">
        <v>4</v>
      </c>
      <c r="O10" s="265">
        <v>5</v>
      </c>
      <c r="P10" s="265">
        <v>5</v>
      </c>
      <c r="Q10" s="265">
        <v>4</v>
      </c>
      <c r="R10" s="63">
        <f t="shared" si="4"/>
        <v>4.55</v>
      </c>
      <c r="S10" s="88">
        <f t="shared" si="1"/>
        <v>0.91</v>
      </c>
      <c r="T10" s="360" t="s">
        <v>739</v>
      </c>
      <c r="U10" s="90">
        <f>IFERROR(VLOOKUP(G10,[5]Database!F:G,2,0),0)</f>
        <v>1000</v>
      </c>
      <c r="V10" s="90">
        <v>0</v>
      </c>
      <c r="W10" s="91">
        <v>0.96494559999999996</v>
      </c>
      <c r="X10" s="195">
        <v>0</v>
      </c>
      <c r="Y10" s="90">
        <v>1</v>
      </c>
      <c r="Z10" s="91">
        <v>0.96494559999999996</v>
      </c>
      <c r="AA10" s="195">
        <v>850</v>
      </c>
      <c r="AB10" s="199">
        <v>0.5</v>
      </c>
      <c r="AC10" s="91">
        <v>0.96494559999999996</v>
      </c>
      <c r="AD10" s="195">
        <v>430</v>
      </c>
      <c r="AE10" s="355">
        <v>1</v>
      </c>
      <c r="AF10" s="91">
        <f t="shared" si="2"/>
        <v>0.72181018113207551</v>
      </c>
      <c r="AG10" s="232">
        <f t="shared" si="3"/>
        <v>660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</row>
    <row r="11" spans="1:69" s="8" customFormat="1">
      <c r="A11" s="60">
        <v>4</v>
      </c>
      <c r="B11" s="61">
        <v>25027</v>
      </c>
      <c r="C11" s="270" t="s">
        <v>566</v>
      </c>
      <c r="D11" s="62" t="s">
        <v>303</v>
      </c>
      <c r="E11" s="62" t="s">
        <v>307</v>
      </c>
      <c r="F11" s="62"/>
      <c r="G11" s="365" t="s">
        <v>365</v>
      </c>
      <c r="H11" s="62"/>
      <c r="I11" s="183" t="s">
        <v>360</v>
      </c>
      <c r="J11" s="266">
        <v>5</v>
      </c>
      <c r="K11" s="266">
        <v>5</v>
      </c>
      <c r="L11" s="266">
        <v>5</v>
      </c>
      <c r="M11" s="266">
        <v>4</v>
      </c>
      <c r="N11" s="266">
        <v>5</v>
      </c>
      <c r="O11" s="266">
        <v>4</v>
      </c>
      <c r="P11" s="266">
        <v>4</v>
      </c>
      <c r="Q11" s="266">
        <v>5</v>
      </c>
      <c r="R11" s="63">
        <f t="shared" si="4"/>
        <v>4.75</v>
      </c>
      <c r="S11" s="88">
        <f t="shared" si="1"/>
        <v>0.95</v>
      </c>
      <c r="T11" s="359" t="s">
        <v>740</v>
      </c>
      <c r="U11" s="66">
        <f>IFERROR(VLOOKUP(G11,[5]Database!F:G,2,0),0)</f>
        <v>1700</v>
      </c>
      <c r="V11" s="66">
        <v>1.3</v>
      </c>
      <c r="W11" s="84">
        <v>0.96494559999999996</v>
      </c>
      <c r="X11" s="134">
        <v>2030</v>
      </c>
      <c r="Y11" s="66">
        <v>1</v>
      </c>
      <c r="Z11" s="84">
        <v>0.96494559999999996</v>
      </c>
      <c r="AA11" s="134">
        <v>1560</v>
      </c>
      <c r="AB11" s="200">
        <v>1.1000000000000001</v>
      </c>
      <c r="AC11" s="84">
        <v>0.96494559999999996</v>
      </c>
      <c r="AD11" s="134">
        <v>1720</v>
      </c>
      <c r="AE11" s="355">
        <v>1</v>
      </c>
      <c r="AF11" s="91">
        <f t="shared" si="2"/>
        <v>0.72181018113207551</v>
      </c>
      <c r="AG11" s="233">
        <f t="shared" si="3"/>
        <v>1170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</row>
    <row r="12" spans="1:69" s="141" customFormat="1">
      <c r="A12" s="68">
        <v>5</v>
      </c>
      <c r="B12" s="69">
        <v>3916</v>
      </c>
      <c r="C12" s="70" t="s">
        <v>567</v>
      </c>
      <c r="D12" s="70" t="s">
        <v>243</v>
      </c>
      <c r="E12" s="70" t="s">
        <v>310</v>
      </c>
      <c r="F12" s="70"/>
      <c r="G12" s="365" t="s">
        <v>396</v>
      </c>
      <c r="H12" s="70"/>
      <c r="I12" s="183" t="s">
        <v>360</v>
      </c>
      <c r="J12" s="265">
        <v>5</v>
      </c>
      <c r="K12" s="265">
        <v>5</v>
      </c>
      <c r="L12" s="265">
        <v>5</v>
      </c>
      <c r="M12" s="265">
        <v>5</v>
      </c>
      <c r="N12" s="265">
        <v>4</v>
      </c>
      <c r="O12" s="265">
        <v>5</v>
      </c>
      <c r="P12" s="265">
        <v>5</v>
      </c>
      <c r="Q12" s="265">
        <v>4</v>
      </c>
      <c r="R12" s="63">
        <f t="shared" si="4"/>
        <v>4.8500000000000005</v>
      </c>
      <c r="S12" s="88">
        <f t="shared" si="1"/>
        <v>0.97</v>
      </c>
      <c r="T12" s="360" t="s">
        <v>740</v>
      </c>
      <c r="U12" s="90">
        <f>IFERROR(VLOOKUP(G12,[5]Database!F:G,2,0),0)</f>
        <v>2000</v>
      </c>
      <c r="V12" s="90">
        <v>0</v>
      </c>
      <c r="W12" s="91">
        <v>0.96494559999999996</v>
      </c>
      <c r="X12" s="195">
        <v>0</v>
      </c>
      <c r="Y12" s="90">
        <v>0.32</v>
      </c>
      <c r="Z12" s="91">
        <v>0.96494559999999996</v>
      </c>
      <c r="AA12" s="195">
        <v>530</v>
      </c>
      <c r="AB12" s="199">
        <v>1.1000000000000001</v>
      </c>
      <c r="AC12" s="91">
        <v>0.96494559999999996</v>
      </c>
      <c r="AD12" s="195">
        <v>1810</v>
      </c>
      <c r="AE12" s="355">
        <v>1</v>
      </c>
      <c r="AF12" s="91">
        <f t="shared" si="2"/>
        <v>0.72181018113207551</v>
      </c>
      <c r="AG12" s="232">
        <f t="shared" si="3"/>
        <v>1410</v>
      </c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</row>
    <row r="13" spans="1:69">
      <c r="A13" s="60">
        <v>6</v>
      </c>
      <c r="B13" s="142">
        <v>152</v>
      </c>
      <c r="C13" s="143" t="s">
        <v>568</v>
      </c>
      <c r="D13" s="143" t="s">
        <v>305</v>
      </c>
      <c r="E13" s="143" t="s">
        <v>305</v>
      </c>
      <c r="F13" s="143"/>
      <c r="G13" s="371" t="s">
        <v>392</v>
      </c>
      <c r="H13" s="143"/>
      <c r="I13" s="184" t="s">
        <v>360</v>
      </c>
      <c r="J13" s="267">
        <v>4</v>
      </c>
      <c r="K13" s="267">
        <v>4</v>
      </c>
      <c r="L13" s="267">
        <v>4</v>
      </c>
      <c r="M13" s="267">
        <v>5</v>
      </c>
      <c r="N13" s="267">
        <v>4</v>
      </c>
      <c r="O13" s="267">
        <v>4</v>
      </c>
      <c r="P13" s="267">
        <v>4</v>
      </c>
      <c r="Q13" s="267">
        <v>4</v>
      </c>
      <c r="R13" s="63">
        <f t="shared" si="4"/>
        <v>4.0999999999999996</v>
      </c>
      <c r="S13" s="88">
        <f t="shared" si="1"/>
        <v>0.82000000000000006</v>
      </c>
      <c r="T13" s="361" t="s">
        <v>740</v>
      </c>
      <c r="U13" s="191">
        <f>IFERROR(VLOOKUP(G13,[5]Database!F:G,2,0),0)</f>
        <v>1000</v>
      </c>
      <c r="V13" s="144">
        <v>1</v>
      </c>
      <c r="W13" s="145">
        <v>0.96494559999999996</v>
      </c>
      <c r="X13" s="134">
        <v>920</v>
      </c>
      <c r="Y13" s="144">
        <v>1</v>
      </c>
      <c r="Z13" s="145">
        <v>0.96494559999999996</v>
      </c>
      <c r="AA13" s="134">
        <v>920</v>
      </c>
      <c r="AB13" s="201">
        <v>1.1000000000000001</v>
      </c>
      <c r="AC13" s="145">
        <v>0.96494559999999996</v>
      </c>
      <c r="AD13" s="134">
        <v>1010</v>
      </c>
      <c r="AE13" s="355">
        <v>1</v>
      </c>
      <c r="AF13" s="91">
        <f t="shared" si="2"/>
        <v>0.72181018113207551</v>
      </c>
      <c r="AG13" s="233">
        <f t="shared" si="3"/>
        <v>600</v>
      </c>
    </row>
    <row r="14" spans="1:69" s="8" customFormat="1">
      <c r="A14" s="68">
        <v>7</v>
      </c>
      <c r="B14" s="61">
        <v>11166</v>
      </c>
      <c r="C14" s="62" t="s">
        <v>569</v>
      </c>
      <c r="D14" s="62" t="s">
        <v>306</v>
      </c>
      <c r="E14" s="62" t="s">
        <v>311</v>
      </c>
      <c r="F14" s="62"/>
      <c r="G14" s="371" t="s">
        <v>365</v>
      </c>
      <c r="H14" s="62"/>
      <c r="I14" s="183" t="s">
        <v>360</v>
      </c>
      <c r="J14" s="266">
        <v>5</v>
      </c>
      <c r="K14" s="266">
        <v>4</v>
      </c>
      <c r="L14" s="266">
        <v>5</v>
      </c>
      <c r="M14" s="266">
        <v>5</v>
      </c>
      <c r="N14" s="266">
        <v>5</v>
      </c>
      <c r="O14" s="266">
        <v>5</v>
      </c>
      <c r="P14" s="266">
        <v>5</v>
      </c>
      <c r="Q14" s="266">
        <v>5</v>
      </c>
      <c r="R14" s="63">
        <f t="shared" si="4"/>
        <v>4.8</v>
      </c>
      <c r="S14" s="88">
        <f t="shared" si="1"/>
        <v>0.96</v>
      </c>
      <c r="T14" s="359" t="s">
        <v>740</v>
      </c>
      <c r="U14" s="90">
        <f>IFERROR(VLOOKUP(G14,[5]Database!F:G,2,0),0)</f>
        <v>1700</v>
      </c>
      <c r="V14" s="66">
        <v>1.2</v>
      </c>
      <c r="W14" s="84">
        <v>0.96494559999999996</v>
      </c>
      <c r="X14" s="134">
        <v>1360</v>
      </c>
      <c r="Y14" s="66">
        <v>1</v>
      </c>
      <c r="Z14" s="84">
        <v>0.96494559999999996</v>
      </c>
      <c r="AA14" s="134">
        <v>1130</v>
      </c>
      <c r="AB14" s="66">
        <v>1</v>
      </c>
      <c r="AC14" s="84">
        <v>0.96494559999999996</v>
      </c>
      <c r="AD14" s="134">
        <v>1130</v>
      </c>
      <c r="AE14" s="355">
        <v>1</v>
      </c>
      <c r="AF14" s="91">
        <f t="shared" si="2"/>
        <v>0.72181018113207551</v>
      </c>
      <c r="AG14" s="233">
        <f t="shared" si="3"/>
        <v>1180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</row>
    <row r="15" spans="1:69" s="112" customFormat="1" hidden="1">
      <c r="A15" s="62">
        <v>8</v>
      </c>
      <c r="B15" s="271">
        <v>24849</v>
      </c>
      <c r="C15" s="272" t="s">
        <v>580</v>
      </c>
      <c r="D15" s="272" t="s">
        <v>244</v>
      </c>
      <c r="E15" s="272" t="s">
        <v>309</v>
      </c>
      <c r="F15" s="272"/>
      <c r="G15" s="366"/>
      <c r="H15" s="272"/>
      <c r="I15" s="271" t="s">
        <v>763</v>
      </c>
      <c r="J15" s="303">
        <v>4</v>
      </c>
      <c r="K15" s="303">
        <v>5</v>
      </c>
      <c r="L15" s="303">
        <v>5</v>
      </c>
      <c r="M15" s="303">
        <v>5</v>
      </c>
      <c r="N15" s="303">
        <v>4</v>
      </c>
      <c r="O15" s="303">
        <v>4</v>
      </c>
      <c r="P15" s="303">
        <v>4</v>
      </c>
      <c r="Q15" s="303">
        <v>4</v>
      </c>
      <c r="R15" s="304">
        <f t="shared" si="4"/>
        <v>4.4000000000000004</v>
      </c>
      <c r="S15" s="305">
        <f t="shared" si="1"/>
        <v>0.88</v>
      </c>
      <c r="T15" s="362" t="s">
        <v>739</v>
      </c>
      <c r="U15" s="147">
        <f>IFERROR(VLOOKUP(G15,[5]Database!F:G,2,0),0)</f>
        <v>0</v>
      </c>
      <c r="V15" s="306">
        <v>1</v>
      </c>
      <c r="W15" s="307">
        <v>0.96494559999999996</v>
      </c>
      <c r="X15" s="308">
        <v>740</v>
      </c>
      <c r="Y15" s="306">
        <v>1</v>
      </c>
      <c r="Z15" s="307">
        <v>0.96494559999999996</v>
      </c>
      <c r="AA15" s="308">
        <v>740</v>
      </c>
      <c r="AB15" s="309">
        <v>0.3</v>
      </c>
      <c r="AC15" s="307">
        <v>0.96494559999999996</v>
      </c>
      <c r="AD15" s="308">
        <v>230</v>
      </c>
      <c r="AE15" s="356">
        <v>0.55000000000000004</v>
      </c>
      <c r="AF15" s="307">
        <f t="shared" si="2"/>
        <v>0.72181018113207551</v>
      </c>
      <c r="AG15" s="310">
        <f t="shared" si="3"/>
        <v>0</v>
      </c>
    </row>
    <row r="16" spans="1:69" s="41" customFormat="1">
      <c r="A16" s="60">
        <v>8</v>
      </c>
      <c r="B16" s="61">
        <v>25292</v>
      </c>
      <c r="C16" s="62" t="s">
        <v>689</v>
      </c>
      <c r="D16" s="62"/>
      <c r="E16" s="62"/>
      <c r="F16" s="62"/>
      <c r="G16" s="365" t="s">
        <v>392</v>
      </c>
      <c r="H16" s="62"/>
      <c r="I16" s="69" t="s">
        <v>360</v>
      </c>
      <c r="J16" s="266">
        <v>5</v>
      </c>
      <c r="K16" s="266">
        <v>5</v>
      </c>
      <c r="L16" s="266">
        <v>5</v>
      </c>
      <c r="M16" s="266">
        <v>4</v>
      </c>
      <c r="N16" s="266">
        <v>4</v>
      </c>
      <c r="O16" s="266">
        <v>4</v>
      </c>
      <c r="P16" s="266">
        <v>5</v>
      </c>
      <c r="Q16" s="266">
        <v>4</v>
      </c>
      <c r="R16" s="63">
        <f t="shared" si="4"/>
        <v>4.6500000000000004</v>
      </c>
      <c r="S16" s="88">
        <f t="shared" si="1"/>
        <v>0.92999999999999994</v>
      </c>
      <c r="T16" s="359" t="s">
        <v>739</v>
      </c>
      <c r="U16" s="90">
        <f>IFERROR(VLOOKUP(G16,[5]Database!F:G,2,0),0)</f>
        <v>1000</v>
      </c>
      <c r="V16" s="66">
        <v>1</v>
      </c>
      <c r="W16" s="84">
        <v>0.96494559999999996</v>
      </c>
      <c r="X16" s="134">
        <v>680</v>
      </c>
      <c r="Y16" s="66">
        <v>1</v>
      </c>
      <c r="Z16" s="84">
        <v>0.96494559999999996</v>
      </c>
      <c r="AA16" s="134">
        <v>680</v>
      </c>
      <c r="AB16" s="200">
        <v>0.5</v>
      </c>
      <c r="AC16" s="84">
        <v>0.96494559999999996</v>
      </c>
      <c r="AD16" s="134">
        <v>340</v>
      </c>
      <c r="AE16" s="357">
        <v>1</v>
      </c>
      <c r="AF16" s="91">
        <f t="shared" si="2"/>
        <v>0.72181018113207551</v>
      </c>
      <c r="AG16" s="233">
        <f t="shared" si="3"/>
        <v>680</v>
      </c>
    </row>
    <row r="17" spans="1:33" s="41" customFormat="1">
      <c r="A17" s="60">
        <v>9</v>
      </c>
      <c r="B17" s="69">
        <v>3756</v>
      </c>
      <c r="C17" s="70" t="s">
        <v>582</v>
      </c>
      <c r="D17" s="70" t="s">
        <v>304</v>
      </c>
      <c r="E17" s="70" t="s">
        <v>304</v>
      </c>
      <c r="F17" s="70"/>
      <c r="G17" s="372" t="s">
        <v>369</v>
      </c>
      <c r="H17" s="70"/>
      <c r="I17" s="69" t="s">
        <v>360</v>
      </c>
      <c r="J17" s="265">
        <v>5</v>
      </c>
      <c r="K17" s="265">
        <v>4</v>
      </c>
      <c r="L17" s="265">
        <v>5</v>
      </c>
      <c r="M17" s="265">
        <v>5</v>
      </c>
      <c r="N17" s="265">
        <v>5</v>
      </c>
      <c r="O17" s="265">
        <v>5</v>
      </c>
      <c r="P17" s="265">
        <v>5</v>
      </c>
      <c r="Q17" s="265">
        <v>5</v>
      </c>
      <c r="R17" s="63">
        <f t="shared" si="4"/>
        <v>4.8</v>
      </c>
      <c r="S17" s="88">
        <f t="shared" si="1"/>
        <v>0.96</v>
      </c>
      <c r="T17" s="360" t="s">
        <v>740</v>
      </c>
      <c r="U17" s="90">
        <f>IFERROR(VLOOKUP(G17,[5]Database!F:G,2,0),0)</f>
        <v>1000</v>
      </c>
      <c r="V17" s="66">
        <v>1.2</v>
      </c>
      <c r="W17" s="91">
        <v>0.96494559999999996</v>
      </c>
      <c r="X17" s="134">
        <v>880</v>
      </c>
      <c r="Y17" s="66">
        <v>1</v>
      </c>
      <c r="Z17" s="91">
        <v>0.96494559999999996</v>
      </c>
      <c r="AA17" s="134">
        <v>730</v>
      </c>
      <c r="AB17" s="200">
        <v>1.1000000000000001</v>
      </c>
      <c r="AC17" s="91">
        <v>0.96494559999999996</v>
      </c>
      <c r="AD17" s="134">
        <v>810</v>
      </c>
      <c r="AE17" s="357">
        <v>1</v>
      </c>
      <c r="AF17" s="91">
        <f t="shared" si="2"/>
        <v>0.72181018113207551</v>
      </c>
      <c r="AG17" s="233">
        <f t="shared" si="3"/>
        <v>700</v>
      </c>
    </row>
    <row r="18" spans="1:33" s="41" customFormat="1">
      <c r="A18" s="60">
        <v>10</v>
      </c>
      <c r="B18" s="69">
        <v>27816</v>
      </c>
      <c r="C18" s="70" t="s">
        <v>686</v>
      </c>
      <c r="D18" s="70" t="s">
        <v>304</v>
      </c>
      <c r="E18" s="70" t="s">
        <v>304</v>
      </c>
      <c r="F18" s="70"/>
      <c r="G18" s="365" t="s">
        <v>396</v>
      </c>
      <c r="H18" s="70"/>
      <c r="I18" s="69" t="s">
        <v>360</v>
      </c>
      <c r="J18" s="265">
        <v>5</v>
      </c>
      <c r="K18" s="265">
        <v>4</v>
      </c>
      <c r="L18" s="265">
        <v>5</v>
      </c>
      <c r="M18" s="265">
        <v>5</v>
      </c>
      <c r="N18" s="265">
        <v>4</v>
      </c>
      <c r="O18" s="265">
        <v>4</v>
      </c>
      <c r="P18" s="265">
        <v>4</v>
      </c>
      <c r="Q18" s="265">
        <v>4</v>
      </c>
      <c r="R18" s="63">
        <f t="shared" si="4"/>
        <v>4.5</v>
      </c>
      <c r="S18" s="88">
        <f t="shared" si="1"/>
        <v>0.89999999999999991</v>
      </c>
      <c r="T18" s="360" t="s">
        <v>740</v>
      </c>
      <c r="U18" s="90">
        <f>IFERROR(VLOOKUP(G18,[5]Database!F:G,2,0),0)</f>
        <v>2000</v>
      </c>
      <c r="V18" s="66">
        <v>1.2</v>
      </c>
      <c r="W18" s="91">
        <v>0.96494559999999996</v>
      </c>
      <c r="X18" s="134">
        <v>2040</v>
      </c>
      <c r="Y18" s="66">
        <v>1</v>
      </c>
      <c r="Z18" s="91">
        <v>0.96494559999999996</v>
      </c>
      <c r="AA18" s="134">
        <v>1700</v>
      </c>
      <c r="AB18" s="66">
        <v>0.26</v>
      </c>
      <c r="AC18" s="91">
        <v>0.96494559999999996</v>
      </c>
      <c r="AD18" s="134">
        <v>450</v>
      </c>
      <c r="AE18" s="357">
        <v>1</v>
      </c>
      <c r="AF18" s="91">
        <f t="shared" si="2"/>
        <v>0.72181018113207551</v>
      </c>
      <c r="AG18" s="233">
        <f t="shared" si="3"/>
        <v>1300</v>
      </c>
    </row>
    <row r="19" spans="1:33">
      <c r="E19" s="42"/>
      <c r="F19" s="42"/>
      <c r="G19" s="42"/>
      <c r="H19" s="42"/>
      <c r="I19" s="126"/>
      <c r="J19" s="109"/>
      <c r="K19" s="109"/>
      <c r="L19" s="109"/>
      <c r="M19" s="109"/>
      <c r="N19" s="109"/>
      <c r="O19" s="109"/>
      <c r="P19" s="109"/>
      <c r="Q19" s="109"/>
      <c r="S19" s="42" t="str">
        <f>IF(B19&lt;&gt;"", ((#REF!/5)*J19) + ((#REF!/5)*K19) + ((#REF!/5)*L19) + ((#REF!/5)*M19) + ((#REF!/5)*N19) + ((#REF!/5)*O19) + ((#REF!/5)*P19) + ((#REF!/5)*Q19), "")</f>
        <v/>
      </c>
      <c r="U19" s="172">
        <f>SUM(U8:U18)</f>
        <v>14400</v>
      </c>
      <c r="X19" s="172">
        <f>SUM(X8:X17)</f>
        <v>7970</v>
      </c>
      <c r="AA19" s="172">
        <f>SUM(AA8:AA17)</f>
        <v>8250</v>
      </c>
      <c r="AD19" s="172">
        <f>SUM(AD8:AD18)</f>
        <v>10750</v>
      </c>
      <c r="AG19" s="367">
        <f>SUM(AG8:AG18)</f>
        <v>9670</v>
      </c>
    </row>
    <row r="20" spans="1:33">
      <c r="E20" s="42"/>
      <c r="F20" s="42"/>
      <c r="G20" s="42"/>
      <c r="H20" s="42"/>
      <c r="I20" s="126"/>
      <c r="J20" s="109"/>
      <c r="K20" s="109"/>
      <c r="L20" s="109"/>
      <c r="M20" s="109"/>
      <c r="N20" s="109"/>
      <c r="O20" s="109"/>
      <c r="P20" s="109"/>
      <c r="Q20" s="109"/>
      <c r="S20" s="42" t="str">
        <f>IF(B20&lt;&gt;"", ((#REF!/5)*J20) + ((#REF!/5)*K20) + ((#REF!/5)*L20) + ((#REF!/5)*M20) + ((#REF!/5)*N20) + ((#REF!/5)*O20) + ((#REF!/5)*P20) + ((#REF!/5)*Q20), "")</f>
        <v/>
      </c>
    </row>
    <row r="21" spans="1:33">
      <c r="E21" s="42"/>
      <c r="F21" s="42"/>
      <c r="G21" s="42"/>
      <c r="H21" s="42"/>
      <c r="I21" s="126"/>
      <c r="J21" s="109"/>
      <c r="K21" s="109"/>
      <c r="L21" s="109"/>
      <c r="M21" s="109"/>
      <c r="N21" s="109"/>
      <c r="O21" s="109"/>
      <c r="P21" s="109"/>
      <c r="Q21" s="109"/>
      <c r="S21" s="42" t="str">
        <f>IF(B21&lt;&gt;"", ((#REF!/5)*J21) + ((#REF!/5)*K21) + ((#REF!/5)*L21) + ((#REF!/5)*M21) + ((#REF!/5)*N21) + ((#REF!/5)*O21) + ((#REF!/5)*P21) + ((#REF!/5)*Q21), "")</f>
        <v/>
      </c>
    </row>
    <row r="22" spans="1:33">
      <c r="S22" s="42" t="str">
        <f>IF(B22&lt;&gt;"", ((#REF!/5)*J22) + ((#REF!/5)*K22) + ((#REF!/5)*L22) + ((#REF!/5)*M22) + ((#REF!/5)*N22) + ((#REF!/5)*O22) + ((#REF!/5)*P22) + ((#REF!/5)*Q22), "")</f>
        <v/>
      </c>
    </row>
    <row r="23" spans="1:33">
      <c r="S23" s="42" t="str">
        <f>IF(B23&lt;&gt;"", ((#REF!/5)*J23) + ((#REF!/5)*K23) + ((#REF!/5)*L23) + ((#REF!/5)*M23) + ((#REF!/5)*N23) + ((#REF!/5)*O23) + ((#REF!/5)*P23) + ((#REF!/5)*Q23), "")</f>
        <v/>
      </c>
    </row>
  </sheetData>
  <autoFilter ref="A7:U18"/>
  <mergeCells count="4">
    <mergeCell ref="A1:T1"/>
    <mergeCell ref="C2:J2"/>
    <mergeCell ref="C3:J3"/>
    <mergeCell ref="C4:J4"/>
  </mergeCells>
  <dataValidations count="5">
    <dataValidation allowBlank="1" showInputMessage="1" showErrorMessage="1" prompt="The lowest level of performance. Requires drastic changes for improvement." sqref="N6"/>
    <dataValidation allowBlank="1" showInputMessage="1" showErrorMessage="1" prompt="Performance below expectations. Needs development and significant improvements." sqref="M6"/>
    <dataValidation allowBlank="1" showInputMessage="1" showErrorMessage="1" prompt="Acceptable performance with satisfactory results. Some aspects can be improved." sqref="L6"/>
    <dataValidation allowBlank="1" showInputMessage="1" showErrorMessage="1" prompt="Strong performance with positive results. Shows commitment and excellence." sqref="K6"/>
    <dataValidation allowBlank="1" showInputMessage="1" showErrorMessage="1" prompt="Represents the highest level of performance. Outstanding and exceptional achievements." sqref="J6"/>
  </dataValidations>
  <pageMargins left="0.7" right="0.7" top="0.75" bottom="0.75" header="0.3" footer="0.3"/>
  <pageSetup paperSize="9" scale="59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I49"/>
  <sheetViews>
    <sheetView zoomScale="70" zoomScaleNormal="70" workbookViewId="0">
      <pane xSplit="3" ySplit="7" topLeftCell="G30" activePane="bottomRight" state="frozen"/>
      <selection pane="topRight" activeCell="D1" sqref="D1"/>
      <selection pane="bottomLeft" activeCell="A8" sqref="A8"/>
      <selection pane="bottomRight" activeCell="I40" sqref="I40"/>
    </sheetView>
  </sheetViews>
  <sheetFormatPr defaultColWidth="8.875" defaultRowHeight="13.5"/>
  <cols>
    <col min="1" max="1" width="5.6875" style="42" customWidth="1"/>
    <col min="2" max="2" width="12.6875" style="42" customWidth="1"/>
    <col min="3" max="3" width="24.3125" style="42" bestFit="1" customWidth="1"/>
    <col min="4" max="5" width="19.125" style="42" hidden="1" customWidth="1"/>
    <col min="6" max="6" width="13.6875" style="42" hidden="1" customWidth="1"/>
    <col min="7" max="7" width="13.6875" style="42" customWidth="1"/>
    <col min="8" max="8" width="13.6875" style="42" hidden="1" customWidth="1"/>
    <col min="9" max="9" width="32" style="42" customWidth="1"/>
    <col min="10" max="10" width="9.3125" style="109" customWidth="1"/>
    <col min="11" max="11" width="10.3125" style="109" customWidth="1"/>
    <col min="12" max="14" width="8.6875" style="109" customWidth="1"/>
    <col min="15" max="15" width="7.6875" style="109" customWidth="1"/>
    <col min="16" max="16" width="8.6875" style="109" customWidth="1"/>
    <col min="17" max="17" width="9.6875" style="109" customWidth="1"/>
    <col min="18" max="18" width="6.875" style="42" customWidth="1"/>
    <col min="19" max="19" width="8" style="42" customWidth="1"/>
    <col min="20" max="20" width="9" style="42" customWidth="1"/>
    <col min="21" max="21" width="13.3125" style="42" bestFit="1" customWidth="1"/>
    <col min="22" max="22" width="0" style="42" hidden="1" customWidth="1"/>
    <col min="23" max="23" width="10.875" style="42" hidden="1" customWidth="1"/>
    <col min="24" max="24" width="18.25" style="42" hidden="1" customWidth="1"/>
    <col min="25" max="25" width="0" style="42" hidden="1" customWidth="1"/>
    <col min="26" max="26" width="10.875" style="42" hidden="1" customWidth="1"/>
    <col min="27" max="27" width="18.25" style="42" hidden="1" customWidth="1"/>
    <col min="28" max="28" width="0" style="42" hidden="1" customWidth="1"/>
    <col min="29" max="29" width="10.875" style="42" hidden="1" customWidth="1"/>
    <col min="30" max="30" width="18.25" style="42" hidden="1" customWidth="1"/>
    <col min="31" max="31" width="8.875" style="42"/>
    <col min="32" max="32" width="10.875" style="42" bestFit="1" customWidth="1"/>
    <col min="33" max="33" width="18.25" style="42" customWidth="1"/>
    <col min="34" max="16384" width="8.875" style="42"/>
  </cols>
  <sheetData>
    <row r="1" spans="1:34" ht="20.25">
      <c r="A1" s="391" t="s">
        <v>0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40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4" ht="20.25">
      <c r="A2" s="43" t="s">
        <v>1</v>
      </c>
      <c r="B2" s="44"/>
      <c r="C2" s="392" t="s">
        <v>728</v>
      </c>
      <c r="D2" s="392"/>
      <c r="E2" s="392"/>
      <c r="F2" s="392"/>
      <c r="G2" s="392"/>
      <c r="H2" s="392"/>
      <c r="I2" s="392"/>
      <c r="J2" s="392"/>
      <c r="K2" s="45"/>
      <c r="L2" s="46"/>
      <c r="M2" s="47"/>
      <c r="N2" s="47"/>
      <c r="O2" s="47"/>
      <c r="P2" s="40" t="s">
        <v>189</v>
      </c>
      <c r="Q2" s="40">
        <f>COUNTA(C8:C1048576)</f>
        <v>41</v>
      </c>
      <c r="R2" s="8"/>
      <c r="S2" s="8"/>
      <c r="T2" s="8"/>
      <c r="U2" s="8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</row>
    <row r="3" spans="1:34" ht="15.6" customHeight="1">
      <c r="A3" s="43" t="s">
        <v>4</v>
      </c>
      <c r="B3" s="48"/>
      <c r="C3" s="393" t="s">
        <v>216</v>
      </c>
      <c r="D3" s="393"/>
      <c r="E3" s="393"/>
      <c r="F3" s="393"/>
      <c r="G3" s="393"/>
      <c r="H3" s="393"/>
      <c r="I3" s="393"/>
      <c r="J3" s="393"/>
      <c r="K3" s="150"/>
      <c r="L3" s="150"/>
      <c r="M3" s="150"/>
      <c r="N3" s="150"/>
      <c r="O3" s="8"/>
      <c r="P3" s="8"/>
      <c r="Q3" s="8"/>
      <c r="R3" s="8"/>
      <c r="S3" s="8"/>
      <c r="T3" s="8"/>
      <c r="U3" s="8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</row>
    <row r="4" spans="1:34" ht="15.6" customHeight="1">
      <c r="A4" s="43" t="s">
        <v>5</v>
      </c>
      <c r="B4" s="48"/>
      <c r="C4" s="393">
        <v>27226</v>
      </c>
      <c r="D4" s="393"/>
      <c r="E4" s="393"/>
      <c r="F4" s="393"/>
      <c r="G4" s="393"/>
      <c r="H4" s="393"/>
      <c r="I4" s="393"/>
      <c r="J4" s="393"/>
      <c r="K4" s="129">
        <v>0.3</v>
      </c>
      <c r="L4" s="129">
        <v>0.2</v>
      </c>
      <c r="M4" s="129">
        <v>0.1</v>
      </c>
      <c r="N4" s="129">
        <v>0.1</v>
      </c>
      <c r="O4" s="129">
        <v>0.1</v>
      </c>
      <c r="P4" s="129">
        <v>0.1</v>
      </c>
      <c r="Q4" s="129">
        <v>0.05</v>
      </c>
      <c r="R4" s="129">
        <v>0.05</v>
      </c>
      <c r="S4" s="8"/>
      <c r="T4" s="8"/>
      <c r="U4" s="8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</row>
    <row r="5" spans="1:34" ht="15">
      <c r="A5" s="8"/>
      <c r="B5" s="8"/>
      <c r="C5" s="8"/>
      <c r="D5" s="8"/>
      <c r="E5" s="8"/>
      <c r="F5" s="8"/>
      <c r="G5" s="8"/>
      <c r="H5" s="8"/>
      <c r="I5" s="8"/>
      <c r="J5" s="52" t="s">
        <v>6</v>
      </c>
      <c r="K5" s="53" t="s">
        <v>7</v>
      </c>
      <c r="L5" s="54" t="s">
        <v>8</v>
      </c>
      <c r="M5" s="55" t="s">
        <v>9</v>
      </c>
      <c r="N5" s="56" t="s">
        <v>10</v>
      </c>
      <c r="O5" s="8"/>
      <c r="P5" s="8"/>
      <c r="Q5" s="8"/>
      <c r="R5" s="8"/>
      <c r="S5" s="8"/>
      <c r="T5" s="8"/>
      <c r="U5" s="8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</row>
    <row r="6" spans="1:34" ht="18.600000000000001" customHeight="1">
      <c r="A6" s="8"/>
      <c r="B6" s="8"/>
      <c r="C6" s="8"/>
      <c r="D6" s="8"/>
      <c r="E6" s="8"/>
      <c r="F6" s="8"/>
      <c r="G6" s="8"/>
      <c r="H6" s="8"/>
      <c r="I6" s="8"/>
      <c r="J6" s="52" t="s">
        <v>11</v>
      </c>
      <c r="K6" s="53" t="s">
        <v>12</v>
      </c>
      <c r="L6" s="54" t="s">
        <v>13</v>
      </c>
      <c r="M6" s="55" t="s">
        <v>14</v>
      </c>
      <c r="N6" s="56" t="s">
        <v>15</v>
      </c>
      <c r="O6" s="8"/>
      <c r="P6" s="8"/>
      <c r="Q6" s="8"/>
      <c r="R6" s="8"/>
      <c r="S6" s="8"/>
      <c r="T6" s="8"/>
      <c r="U6" s="8"/>
      <c r="V6" s="85"/>
      <c r="W6" s="151">
        <v>5000000</v>
      </c>
      <c r="X6" s="152">
        <f>Management!W6</f>
        <v>4824728</v>
      </c>
      <c r="Y6" s="85"/>
      <c r="Z6" s="151">
        <v>5000000</v>
      </c>
      <c r="AA6" s="152">
        <f>Management!Z6</f>
        <v>4824728</v>
      </c>
      <c r="AB6" s="85"/>
      <c r="AC6" s="151">
        <v>5000000</v>
      </c>
      <c r="AD6" s="152">
        <f>Management!AC6</f>
        <v>4824728</v>
      </c>
      <c r="AE6" s="85"/>
      <c r="AF6" s="152">
        <f>Management!AE6</f>
        <v>5300000</v>
      </c>
      <c r="AG6" s="152">
        <f>Management!AF6</f>
        <v>3825593.96</v>
      </c>
    </row>
    <row r="7" spans="1:34" ht="99.95" customHeight="1">
      <c r="A7" s="177" t="s">
        <v>16</v>
      </c>
      <c r="B7" s="177" t="s">
        <v>17</v>
      </c>
      <c r="C7" s="177" t="s">
        <v>18</v>
      </c>
      <c r="D7" s="177" t="s">
        <v>19</v>
      </c>
      <c r="E7" s="177" t="s">
        <v>20</v>
      </c>
      <c r="F7" s="177" t="s">
        <v>385</v>
      </c>
      <c r="G7" s="178" t="s">
        <v>425</v>
      </c>
      <c r="H7" s="177" t="s">
        <v>363</v>
      </c>
      <c r="I7" s="177" t="s">
        <v>359</v>
      </c>
      <c r="J7" s="179" t="s">
        <v>21</v>
      </c>
      <c r="K7" s="179" t="s">
        <v>22</v>
      </c>
      <c r="L7" s="179" t="s">
        <v>23</v>
      </c>
      <c r="M7" s="179" t="s">
        <v>24</v>
      </c>
      <c r="N7" s="179" t="s">
        <v>25</v>
      </c>
      <c r="O7" s="179" t="s">
        <v>26</v>
      </c>
      <c r="P7" s="179" t="s">
        <v>27</v>
      </c>
      <c r="Q7" s="179" t="s">
        <v>28</v>
      </c>
      <c r="R7" s="177" t="s">
        <v>29</v>
      </c>
      <c r="S7" s="177" t="s">
        <v>30</v>
      </c>
      <c r="T7" s="177" t="s">
        <v>31</v>
      </c>
      <c r="U7" s="178" t="s">
        <v>364</v>
      </c>
      <c r="V7" s="179" t="s">
        <v>623</v>
      </c>
      <c r="W7" s="177" t="s">
        <v>420</v>
      </c>
      <c r="X7" s="177" t="s">
        <v>659</v>
      </c>
      <c r="Y7" s="179" t="s">
        <v>623</v>
      </c>
      <c r="Z7" s="177" t="s">
        <v>420</v>
      </c>
      <c r="AA7" s="177" t="s">
        <v>679</v>
      </c>
      <c r="AB7" s="179" t="s">
        <v>623</v>
      </c>
      <c r="AC7" s="177" t="s">
        <v>420</v>
      </c>
      <c r="AD7" s="177" t="s">
        <v>684</v>
      </c>
      <c r="AE7" s="179" t="s">
        <v>623</v>
      </c>
      <c r="AF7" s="177" t="s">
        <v>420</v>
      </c>
      <c r="AG7" s="177" t="s">
        <v>755</v>
      </c>
    </row>
    <row r="8" spans="1:34">
      <c r="A8" s="60">
        <f t="shared" ref="A8:A48" si="0">IF(B8&lt;&gt;"",ROW()-7,"")</f>
        <v>1</v>
      </c>
      <c r="B8" s="61">
        <v>25381</v>
      </c>
      <c r="C8" s="62" t="s">
        <v>618</v>
      </c>
      <c r="D8" s="62" t="s">
        <v>244</v>
      </c>
      <c r="E8" s="62"/>
      <c r="F8" s="62" t="s">
        <v>399</v>
      </c>
      <c r="G8" s="62" t="s">
        <v>399</v>
      </c>
      <c r="H8" s="62"/>
      <c r="I8" s="62" t="s">
        <v>360</v>
      </c>
      <c r="J8" s="342">
        <v>4</v>
      </c>
      <c r="K8" s="342">
        <v>5</v>
      </c>
      <c r="L8" s="342">
        <v>5</v>
      </c>
      <c r="M8" s="342">
        <v>5</v>
      </c>
      <c r="N8" s="342">
        <v>5</v>
      </c>
      <c r="O8" s="342">
        <v>4</v>
      </c>
      <c r="P8" s="342">
        <v>5</v>
      </c>
      <c r="Q8" s="342">
        <v>5</v>
      </c>
      <c r="R8" s="63">
        <f t="shared" ref="R8" si="1">IF(B8&lt;&gt;"", J8*0.3 + K8*0.2 + L8*0.1 + M8*0.1 + N8*0.1 + O8*0.1 + P8*0.05 + Q8*0.05, "")</f>
        <v>4.6000000000000005</v>
      </c>
      <c r="S8" s="88">
        <f t="shared" ref="S8:S48" si="2">IF(B8&lt;&gt;"", (($K$4/5)*J8) + (($L$4/5)*K8) + (($M$4/5)*L8) + (($N$4/5)*M8) + (($O$4/5)*N8) + (($P$4/5)*O8) + (($Q$4/5)*P8) + (($R$4/5)*Q8), "")</f>
        <v>0.92</v>
      </c>
      <c r="T8" s="65" t="str">
        <f t="shared" ref="T8" si="3">IF(B8&lt;&gt;"", IF(R8=0, "No-Grade",   IF(AND(R8&gt;=4.5, R8&lt;=5), "Grade-A",   IF(AND(R8&gt;=3, R8&lt;4.5), "Grade-B",   IF(AND(R8&gt;=2, R8&lt;3), "Grade-C",   IF(R8&lt;2, "Grade-D",   "Grade-D"))))), "")</f>
        <v>Grade-A</v>
      </c>
      <c r="U8" s="63">
        <f>IFERROR(VLOOKUP(G8,Database!F:G,2,0),0)</f>
        <v>800</v>
      </c>
      <c r="V8" s="66">
        <v>1</v>
      </c>
      <c r="W8" s="84">
        <f>$X$6/$W$6</f>
        <v>0.96494559999999996</v>
      </c>
      <c r="X8" s="67">
        <f t="shared" ref="X8:X41" si="4">CEILING($S8*$U8*V8*W8,10)</f>
        <v>720</v>
      </c>
      <c r="Y8" s="66">
        <v>1</v>
      </c>
      <c r="Z8" s="84">
        <f>$X$6/$W$6</f>
        <v>0.96494559999999996</v>
      </c>
      <c r="AA8" s="67">
        <f t="shared" ref="AA8:AA48" si="5">CEILING($S8*$U8*Y8*Z8,10)</f>
        <v>720</v>
      </c>
      <c r="AB8" s="66">
        <v>1</v>
      </c>
      <c r="AC8" s="84">
        <f>$X$6/$W$6</f>
        <v>0.96494559999999996</v>
      </c>
      <c r="AD8" s="67">
        <f t="shared" ref="AD8:AD48" si="6">CEILING($S8*$U8*AB8*AC8,10)</f>
        <v>720</v>
      </c>
      <c r="AE8" s="66">
        <v>1.2</v>
      </c>
      <c r="AF8" s="84">
        <f>$AG$6/$AF$6</f>
        <v>0.72181018113207551</v>
      </c>
      <c r="AG8" s="228">
        <f>CEILING($S8*$U8*AE8*AF8,10)</f>
        <v>640</v>
      </c>
    </row>
    <row r="9" spans="1:34" s="8" customFormat="1">
      <c r="A9" s="60">
        <f t="shared" si="0"/>
        <v>2</v>
      </c>
      <c r="B9" s="61">
        <v>4840</v>
      </c>
      <c r="C9" s="62" t="s">
        <v>155</v>
      </c>
      <c r="D9" s="62" t="s">
        <v>255</v>
      </c>
      <c r="E9" s="62"/>
      <c r="F9" s="62" t="s">
        <v>398</v>
      </c>
      <c r="G9" s="62" t="s">
        <v>398</v>
      </c>
      <c r="H9" s="62"/>
      <c r="I9" s="62" t="s">
        <v>360</v>
      </c>
      <c r="J9" s="342">
        <v>4</v>
      </c>
      <c r="K9" s="342">
        <v>5</v>
      </c>
      <c r="L9" s="342">
        <v>5</v>
      </c>
      <c r="M9" s="342">
        <v>5</v>
      </c>
      <c r="N9" s="342">
        <v>4</v>
      </c>
      <c r="O9" s="342">
        <v>4</v>
      </c>
      <c r="P9" s="342">
        <v>4</v>
      </c>
      <c r="Q9" s="342">
        <v>4</v>
      </c>
      <c r="R9" s="63">
        <f t="shared" ref="R9:R48" si="7">IF(B9&lt;&gt;"", J9*0.3 + K9*0.2 + L9*0.1 + M9*0.1 + N9*0.1 + O9*0.1 + P9*0.05 + Q9*0.05, "")</f>
        <v>4.4000000000000004</v>
      </c>
      <c r="S9" s="64">
        <f t="shared" si="2"/>
        <v>0.88</v>
      </c>
      <c r="T9" s="65" t="str">
        <f t="shared" ref="T9:T48" si="8">IF(B9&lt;&gt;"", IF(R9=0, "No-Grade",   IF(AND(R9&gt;=4.5, R9&lt;=5), "Grade-A",   IF(AND(R9&gt;=3, R9&lt;4.5), "Grade-B",   IF(AND(R9&gt;=2, R9&lt;3), "Grade-C",   IF(R9&lt;2, "Grade-D",   "Grade-D"))))), "")</f>
        <v>Grade-B</v>
      </c>
      <c r="U9" s="123">
        <f>IFERROR(VLOOKUP(G9,Database!F:G,2,0),0)</f>
        <v>900</v>
      </c>
      <c r="V9" s="66">
        <v>1</v>
      </c>
      <c r="W9" s="84">
        <f t="shared" ref="W9:W48" si="9">$X$6/$W$6</f>
        <v>0.96494559999999996</v>
      </c>
      <c r="X9" s="67">
        <f t="shared" si="4"/>
        <v>770</v>
      </c>
      <c r="Y9" s="66">
        <v>1</v>
      </c>
      <c r="Z9" s="84">
        <f t="shared" ref="Z9:Z48" si="10">$X$6/$W$6</f>
        <v>0.96494559999999996</v>
      </c>
      <c r="AA9" s="67">
        <f t="shared" si="5"/>
        <v>770</v>
      </c>
      <c r="AB9" s="66">
        <v>1</v>
      </c>
      <c r="AC9" s="84">
        <f t="shared" ref="AC9:AC48" si="11">$X$6/$W$6</f>
        <v>0.96494559999999996</v>
      </c>
      <c r="AD9" s="67">
        <f t="shared" si="6"/>
        <v>770</v>
      </c>
      <c r="AE9" s="66">
        <v>1</v>
      </c>
      <c r="AF9" s="84">
        <f t="shared" ref="AF9:AF48" si="12">$AG$6/$AF$6</f>
        <v>0.72181018113207551</v>
      </c>
      <c r="AG9" s="228">
        <f t="shared" ref="AG9:AG48" si="13">CEILING($S9*$U9*AE9*AF9,10)</f>
        <v>580</v>
      </c>
    </row>
    <row r="10" spans="1:34" s="41" customFormat="1">
      <c r="A10" s="60">
        <f t="shared" si="0"/>
        <v>3</v>
      </c>
      <c r="B10" s="61">
        <v>3481</v>
      </c>
      <c r="C10" s="62" t="s">
        <v>256</v>
      </c>
      <c r="D10" s="62" t="s">
        <v>255</v>
      </c>
      <c r="E10" s="62"/>
      <c r="F10" s="62" t="s">
        <v>398</v>
      </c>
      <c r="G10" s="62" t="s">
        <v>398</v>
      </c>
      <c r="H10" s="62"/>
      <c r="I10" s="62" t="s">
        <v>360</v>
      </c>
      <c r="J10" s="342">
        <v>5</v>
      </c>
      <c r="K10" s="342">
        <v>5</v>
      </c>
      <c r="L10" s="342">
        <v>3</v>
      </c>
      <c r="M10" s="342">
        <v>3</v>
      </c>
      <c r="N10" s="342">
        <v>3</v>
      </c>
      <c r="O10" s="342">
        <v>3</v>
      </c>
      <c r="P10" s="342">
        <v>3</v>
      </c>
      <c r="Q10" s="342">
        <v>3</v>
      </c>
      <c r="R10" s="63">
        <f t="shared" si="7"/>
        <v>3.9999999999999991</v>
      </c>
      <c r="S10" s="88">
        <f t="shared" si="2"/>
        <v>0.80000000000000027</v>
      </c>
      <c r="T10" s="65" t="str">
        <f t="shared" si="8"/>
        <v>Grade-B</v>
      </c>
      <c r="U10" s="63">
        <f>IFERROR(VLOOKUP(G10,Database!F:G,2,0),0)</f>
        <v>900</v>
      </c>
      <c r="V10" s="66">
        <v>1</v>
      </c>
      <c r="W10" s="84">
        <f t="shared" si="9"/>
        <v>0.96494559999999996</v>
      </c>
      <c r="X10" s="67">
        <f t="shared" si="4"/>
        <v>700</v>
      </c>
      <c r="Y10" s="66">
        <v>1</v>
      </c>
      <c r="Z10" s="84">
        <f t="shared" si="10"/>
        <v>0.96494559999999996</v>
      </c>
      <c r="AA10" s="67">
        <f t="shared" si="5"/>
        <v>700</v>
      </c>
      <c r="AB10" s="66">
        <v>1</v>
      </c>
      <c r="AC10" s="84">
        <f t="shared" si="11"/>
        <v>0.96494559999999996</v>
      </c>
      <c r="AD10" s="67">
        <f t="shared" si="6"/>
        <v>700</v>
      </c>
      <c r="AE10" s="66">
        <v>1.1000000000000001</v>
      </c>
      <c r="AF10" s="84">
        <f t="shared" si="12"/>
        <v>0.72181018113207551</v>
      </c>
      <c r="AG10" s="228">
        <f t="shared" si="13"/>
        <v>580</v>
      </c>
      <c r="AH10" s="8"/>
    </row>
    <row r="11" spans="1:34" s="92" customFormat="1">
      <c r="A11" s="60">
        <f t="shared" si="0"/>
        <v>4</v>
      </c>
      <c r="B11" s="69">
        <v>2190</v>
      </c>
      <c r="C11" s="70" t="s">
        <v>257</v>
      </c>
      <c r="D11" s="70" t="s">
        <v>186</v>
      </c>
      <c r="E11" s="70"/>
      <c r="F11" s="70" t="s">
        <v>365</v>
      </c>
      <c r="G11" s="70" t="s">
        <v>365</v>
      </c>
      <c r="H11" s="70"/>
      <c r="I11" s="62" t="s">
        <v>360</v>
      </c>
      <c r="J11" s="343">
        <v>5</v>
      </c>
      <c r="K11" s="343">
        <v>5</v>
      </c>
      <c r="L11" s="343">
        <v>5</v>
      </c>
      <c r="M11" s="343">
        <v>5</v>
      </c>
      <c r="N11" s="343">
        <v>4</v>
      </c>
      <c r="O11" s="343">
        <v>5</v>
      </c>
      <c r="P11" s="343">
        <v>4</v>
      </c>
      <c r="Q11" s="343">
        <v>4</v>
      </c>
      <c r="R11" s="63">
        <f t="shared" si="7"/>
        <v>4.8000000000000007</v>
      </c>
      <c r="S11" s="73">
        <f t="shared" si="2"/>
        <v>0.96</v>
      </c>
      <c r="T11" s="65" t="str">
        <f t="shared" si="8"/>
        <v>Grade-A</v>
      </c>
      <c r="U11" s="107">
        <f>IFERROR(VLOOKUP(G11,Database!F:G,2,0),0)</f>
        <v>1700</v>
      </c>
      <c r="V11" s="90">
        <v>0.43</v>
      </c>
      <c r="W11" s="91">
        <f t="shared" si="9"/>
        <v>0.96494559999999996</v>
      </c>
      <c r="X11" s="76">
        <f t="shared" si="4"/>
        <v>680</v>
      </c>
      <c r="Y11" s="90">
        <v>1</v>
      </c>
      <c r="Z11" s="91">
        <f t="shared" si="10"/>
        <v>0.96494559999999996</v>
      </c>
      <c r="AA11" s="76">
        <f t="shared" si="5"/>
        <v>1580</v>
      </c>
      <c r="AB11" s="90">
        <v>1</v>
      </c>
      <c r="AC11" s="91">
        <f t="shared" si="11"/>
        <v>0.96494559999999996</v>
      </c>
      <c r="AD11" s="76">
        <f t="shared" si="6"/>
        <v>1580</v>
      </c>
      <c r="AE11" s="90">
        <v>1.2</v>
      </c>
      <c r="AF11" s="91">
        <f t="shared" si="12"/>
        <v>0.72181018113207551</v>
      </c>
      <c r="AG11" s="229">
        <f t="shared" si="13"/>
        <v>1420</v>
      </c>
      <c r="AH11" s="8"/>
    </row>
    <row r="12" spans="1:34">
      <c r="A12" s="60">
        <f t="shared" si="0"/>
        <v>5</v>
      </c>
      <c r="B12" s="61">
        <v>1398</v>
      </c>
      <c r="C12" s="62" t="s">
        <v>258</v>
      </c>
      <c r="D12" s="62" t="s">
        <v>259</v>
      </c>
      <c r="E12" s="62"/>
      <c r="F12" s="62" t="s">
        <v>397</v>
      </c>
      <c r="G12" s="62" t="s">
        <v>398</v>
      </c>
      <c r="H12" s="62"/>
      <c r="I12" s="62" t="s">
        <v>360</v>
      </c>
      <c r="J12" s="342">
        <v>5</v>
      </c>
      <c r="K12" s="342">
        <v>4</v>
      </c>
      <c r="L12" s="342">
        <v>4</v>
      </c>
      <c r="M12" s="342">
        <v>3</v>
      </c>
      <c r="N12" s="342">
        <v>5</v>
      </c>
      <c r="O12" s="342">
        <v>4</v>
      </c>
      <c r="P12" s="342">
        <v>5</v>
      </c>
      <c r="Q12" s="342">
        <v>5</v>
      </c>
      <c r="R12" s="63">
        <f t="shared" si="7"/>
        <v>4.4000000000000004</v>
      </c>
      <c r="S12" s="88">
        <f t="shared" si="2"/>
        <v>0.87999999999999989</v>
      </c>
      <c r="T12" s="65" t="str">
        <f t="shared" si="8"/>
        <v>Grade-B</v>
      </c>
      <c r="U12" s="123">
        <f>IFERROR(VLOOKUP(G12,Database!F:G,2,0),0)</f>
        <v>900</v>
      </c>
      <c r="V12" s="66">
        <v>1</v>
      </c>
      <c r="W12" s="84">
        <f t="shared" si="9"/>
        <v>0.96494559999999996</v>
      </c>
      <c r="X12" s="67">
        <f t="shared" si="4"/>
        <v>770</v>
      </c>
      <c r="Y12" s="66">
        <v>1</v>
      </c>
      <c r="Z12" s="84">
        <f t="shared" si="10"/>
        <v>0.96494559999999996</v>
      </c>
      <c r="AA12" s="67">
        <f t="shared" si="5"/>
        <v>770</v>
      </c>
      <c r="AB12" s="66">
        <v>1</v>
      </c>
      <c r="AC12" s="84">
        <f t="shared" si="11"/>
        <v>0.96494559999999996</v>
      </c>
      <c r="AD12" s="67">
        <f t="shared" si="6"/>
        <v>770</v>
      </c>
      <c r="AE12" s="66">
        <v>1</v>
      </c>
      <c r="AF12" s="84">
        <f t="shared" si="12"/>
        <v>0.72181018113207551</v>
      </c>
      <c r="AG12" s="228">
        <f t="shared" si="13"/>
        <v>580</v>
      </c>
      <c r="AH12" s="8"/>
    </row>
    <row r="13" spans="1:34" ht="13.5" customHeight="1">
      <c r="A13" s="60">
        <f t="shared" si="0"/>
        <v>6</v>
      </c>
      <c r="B13" s="61">
        <v>15679</v>
      </c>
      <c r="C13" s="62" t="s">
        <v>260</v>
      </c>
      <c r="D13" s="62" t="s">
        <v>32</v>
      </c>
      <c r="E13" s="62"/>
      <c r="F13" s="62" t="s">
        <v>370</v>
      </c>
      <c r="G13" s="62" t="s">
        <v>398</v>
      </c>
      <c r="H13" s="62"/>
      <c r="I13" s="62" t="s">
        <v>360</v>
      </c>
      <c r="J13" s="342">
        <v>4</v>
      </c>
      <c r="K13" s="342">
        <v>4</v>
      </c>
      <c r="L13" s="342">
        <v>5</v>
      </c>
      <c r="M13" s="342">
        <v>4</v>
      </c>
      <c r="N13" s="342">
        <v>4</v>
      </c>
      <c r="O13" s="342">
        <v>4</v>
      </c>
      <c r="P13" s="342">
        <v>5</v>
      </c>
      <c r="Q13" s="342">
        <v>5</v>
      </c>
      <c r="R13" s="63">
        <f t="shared" si="7"/>
        <v>4.1999999999999993</v>
      </c>
      <c r="S13" s="64">
        <f t="shared" si="2"/>
        <v>0.84</v>
      </c>
      <c r="T13" s="65" t="str">
        <f t="shared" si="8"/>
        <v>Grade-B</v>
      </c>
      <c r="U13" s="123">
        <f>IFERROR(VLOOKUP(G13,Database!F:G,2,0),0)</f>
        <v>900</v>
      </c>
      <c r="V13" s="66">
        <v>1</v>
      </c>
      <c r="W13" s="84">
        <f t="shared" si="9"/>
        <v>0.96494559999999996</v>
      </c>
      <c r="X13" s="67">
        <f t="shared" si="4"/>
        <v>730</v>
      </c>
      <c r="Y13" s="66">
        <v>1</v>
      </c>
      <c r="Z13" s="84">
        <f t="shared" si="10"/>
        <v>0.96494559999999996</v>
      </c>
      <c r="AA13" s="67">
        <f t="shared" si="5"/>
        <v>730</v>
      </c>
      <c r="AB13" s="66">
        <v>1</v>
      </c>
      <c r="AC13" s="84">
        <f t="shared" si="11"/>
        <v>0.96494559999999996</v>
      </c>
      <c r="AD13" s="67">
        <f t="shared" si="6"/>
        <v>730</v>
      </c>
      <c r="AE13" s="66">
        <v>1</v>
      </c>
      <c r="AF13" s="84">
        <f t="shared" si="12"/>
        <v>0.72181018113207551</v>
      </c>
      <c r="AG13" s="228">
        <f t="shared" si="13"/>
        <v>550</v>
      </c>
      <c r="AH13" s="8"/>
    </row>
    <row r="14" spans="1:34" s="41" customFormat="1">
      <c r="A14" s="60">
        <f t="shared" si="0"/>
        <v>7</v>
      </c>
      <c r="B14" s="61">
        <v>3019</v>
      </c>
      <c r="C14" s="62" t="s">
        <v>261</v>
      </c>
      <c r="D14" s="62" t="s">
        <v>186</v>
      </c>
      <c r="E14" s="62"/>
      <c r="F14" s="62" t="s">
        <v>365</v>
      </c>
      <c r="G14" s="62" t="s">
        <v>365</v>
      </c>
      <c r="H14" s="62"/>
      <c r="I14" s="62" t="s">
        <v>360</v>
      </c>
      <c r="J14" s="342">
        <v>5</v>
      </c>
      <c r="K14" s="342">
        <v>5</v>
      </c>
      <c r="L14" s="342">
        <v>4</v>
      </c>
      <c r="M14" s="342">
        <v>4</v>
      </c>
      <c r="N14" s="342">
        <v>4</v>
      </c>
      <c r="O14" s="342">
        <v>4</v>
      </c>
      <c r="P14" s="342">
        <v>3</v>
      </c>
      <c r="Q14" s="342">
        <v>4</v>
      </c>
      <c r="R14" s="63">
        <f t="shared" si="7"/>
        <v>4.45</v>
      </c>
      <c r="S14" s="64">
        <f t="shared" si="2"/>
        <v>0.8899999999999999</v>
      </c>
      <c r="T14" s="65" t="str">
        <f t="shared" si="8"/>
        <v>Grade-B</v>
      </c>
      <c r="U14" s="123">
        <f>IFERROR(VLOOKUP(G14,Database!F:G,2,0),0)</f>
        <v>1700</v>
      </c>
      <c r="V14" s="66">
        <v>1</v>
      </c>
      <c r="W14" s="84">
        <f t="shared" si="9"/>
        <v>0.96494559999999996</v>
      </c>
      <c r="X14" s="67">
        <f t="shared" si="4"/>
        <v>1460</v>
      </c>
      <c r="Y14" s="66">
        <v>1</v>
      </c>
      <c r="Z14" s="84">
        <f t="shared" si="10"/>
        <v>0.96494559999999996</v>
      </c>
      <c r="AA14" s="67">
        <f t="shared" si="5"/>
        <v>1460</v>
      </c>
      <c r="AB14" s="66">
        <v>1</v>
      </c>
      <c r="AC14" s="84">
        <f t="shared" si="11"/>
        <v>0.96494559999999996</v>
      </c>
      <c r="AD14" s="67">
        <f t="shared" si="6"/>
        <v>1460</v>
      </c>
      <c r="AE14" s="66">
        <v>1</v>
      </c>
      <c r="AF14" s="84">
        <f t="shared" si="12"/>
        <v>0.72181018113207551</v>
      </c>
      <c r="AG14" s="228">
        <f t="shared" si="13"/>
        <v>1100</v>
      </c>
      <c r="AH14" s="8"/>
    </row>
    <row r="15" spans="1:34" s="41" customFormat="1">
      <c r="A15" s="60">
        <f t="shared" si="0"/>
        <v>8</v>
      </c>
      <c r="B15" s="69">
        <v>2929</v>
      </c>
      <c r="C15" s="70" t="s">
        <v>263</v>
      </c>
      <c r="D15" s="70" t="s">
        <v>255</v>
      </c>
      <c r="E15" s="70"/>
      <c r="F15" s="70" t="s">
        <v>398</v>
      </c>
      <c r="G15" s="70" t="s">
        <v>398</v>
      </c>
      <c r="H15" s="70"/>
      <c r="I15" s="62" t="s">
        <v>360</v>
      </c>
      <c r="J15" s="343">
        <v>5</v>
      </c>
      <c r="K15" s="343">
        <v>5</v>
      </c>
      <c r="L15" s="343">
        <v>4</v>
      </c>
      <c r="M15" s="343">
        <v>4</v>
      </c>
      <c r="N15" s="343">
        <v>4</v>
      </c>
      <c r="O15" s="343">
        <v>4</v>
      </c>
      <c r="P15" s="343">
        <v>3</v>
      </c>
      <c r="Q15" s="343">
        <v>4</v>
      </c>
      <c r="R15" s="63">
        <f t="shared" si="7"/>
        <v>4.45</v>
      </c>
      <c r="S15" s="73">
        <f t="shared" si="2"/>
        <v>0.8899999999999999</v>
      </c>
      <c r="T15" s="65" t="str">
        <f t="shared" si="8"/>
        <v>Grade-B</v>
      </c>
      <c r="U15" s="107">
        <f>IFERROR(VLOOKUP(G15,Database!F:G,2,0),0)</f>
        <v>900</v>
      </c>
      <c r="V15" s="66">
        <v>1</v>
      </c>
      <c r="W15" s="91">
        <f t="shared" si="9"/>
        <v>0.96494559999999996</v>
      </c>
      <c r="X15" s="76">
        <f t="shared" si="4"/>
        <v>780</v>
      </c>
      <c r="Y15" s="66">
        <v>1</v>
      </c>
      <c r="Z15" s="91">
        <f t="shared" si="10"/>
        <v>0.96494559999999996</v>
      </c>
      <c r="AA15" s="76">
        <f t="shared" si="5"/>
        <v>780</v>
      </c>
      <c r="AB15" s="66">
        <v>1</v>
      </c>
      <c r="AC15" s="91">
        <f t="shared" si="11"/>
        <v>0.96494559999999996</v>
      </c>
      <c r="AD15" s="76">
        <f t="shared" si="6"/>
        <v>780</v>
      </c>
      <c r="AE15" s="66">
        <v>1</v>
      </c>
      <c r="AF15" s="91">
        <f t="shared" si="12"/>
        <v>0.72181018113207551</v>
      </c>
      <c r="AG15" s="229">
        <f t="shared" si="13"/>
        <v>580</v>
      </c>
      <c r="AH15" s="8"/>
    </row>
    <row r="16" spans="1:34" s="8" customFormat="1">
      <c r="A16" s="60">
        <f t="shared" si="0"/>
        <v>9</v>
      </c>
      <c r="B16" s="61">
        <v>3624</v>
      </c>
      <c r="C16" s="62" t="s">
        <v>264</v>
      </c>
      <c r="D16" s="62" t="s">
        <v>255</v>
      </c>
      <c r="E16" s="62"/>
      <c r="F16" s="62" t="s">
        <v>398</v>
      </c>
      <c r="G16" s="62" t="s">
        <v>398</v>
      </c>
      <c r="H16" s="62"/>
      <c r="I16" s="62" t="s">
        <v>360</v>
      </c>
      <c r="J16" s="342">
        <v>5</v>
      </c>
      <c r="K16" s="342">
        <v>5</v>
      </c>
      <c r="L16" s="342">
        <v>4</v>
      </c>
      <c r="M16" s="342">
        <v>3</v>
      </c>
      <c r="N16" s="342">
        <v>4</v>
      </c>
      <c r="O16" s="342">
        <v>4</v>
      </c>
      <c r="P16" s="342">
        <v>4</v>
      </c>
      <c r="Q16" s="342">
        <v>4</v>
      </c>
      <c r="R16" s="63">
        <f t="shared" si="7"/>
        <v>4.4000000000000004</v>
      </c>
      <c r="S16" s="64">
        <f t="shared" si="2"/>
        <v>0.87999999999999989</v>
      </c>
      <c r="T16" s="65" t="str">
        <f t="shared" si="8"/>
        <v>Grade-B</v>
      </c>
      <c r="U16" s="123">
        <f>IFERROR(VLOOKUP(G16,Database!F:G,2,0),0)</f>
        <v>900</v>
      </c>
      <c r="V16" s="66">
        <v>1</v>
      </c>
      <c r="W16" s="84">
        <f t="shared" si="9"/>
        <v>0.96494559999999996</v>
      </c>
      <c r="X16" s="67">
        <f t="shared" si="4"/>
        <v>770</v>
      </c>
      <c r="Y16" s="66">
        <v>1</v>
      </c>
      <c r="Z16" s="84">
        <f t="shared" si="10"/>
        <v>0.96494559999999996</v>
      </c>
      <c r="AA16" s="67">
        <f t="shared" si="5"/>
        <v>770</v>
      </c>
      <c r="AB16" s="66">
        <v>1</v>
      </c>
      <c r="AC16" s="84">
        <f t="shared" si="11"/>
        <v>0.96494559999999996</v>
      </c>
      <c r="AD16" s="67">
        <f t="shared" si="6"/>
        <v>770</v>
      </c>
      <c r="AE16" s="66">
        <v>1</v>
      </c>
      <c r="AF16" s="84">
        <f t="shared" si="12"/>
        <v>0.72181018113207551</v>
      </c>
      <c r="AG16" s="228">
        <f t="shared" si="13"/>
        <v>580</v>
      </c>
    </row>
    <row r="17" spans="1:35" s="8" customFormat="1">
      <c r="A17" s="60">
        <f t="shared" si="0"/>
        <v>10</v>
      </c>
      <c r="B17" s="61">
        <v>313</v>
      </c>
      <c r="C17" s="62" t="s">
        <v>265</v>
      </c>
      <c r="D17" s="62" t="s">
        <v>259</v>
      </c>
      <c r="E17" s="62"/>
      <c r="F17" s="62" t="s">
        <v>397</v>
      </c>
      <c r="G17" s="62" t="s">
        <v>398</v>
      </c>
      <c r="H17" s="62"/>
      <c r="I17" s="62" t="s">
        <v>360</v>
      </c>
      <c r="J17" s="342">
        <v>5</v>
      </c>
      <c r="K17" s="342">
        <v>4</v>
      </c>
      <c r="L17" s="342">
        <v>5</v>
      </c>
      <c r="M17" s="342">
        <v>4</v>
      </c>
      <c r="N17" s="342">
        <v>4</v>
      </c>
      <c r="O17" s="342">
        <v>4</v>
      </c>
      <c r="P17" s="342">
        <v>4</v>
      </c>
      <c r="Q17" s="342">
        <v>4</v>
      </c>
      <c r="R17" s="63">
        <f t="shared" si="7"/>
        <v>4.3999999999999995</v>
      </c>
      <c r="S17" s="88">
        <f t="shared" si="2"/>
        <v>0.87999999999999989</v>
      </c>
      <c r="T17" s="65" t="str">
        <f t="shared" si="8"/>
        <v>Grade-B</v>
      </c>
      <c r="U17" s="123">
        <f>IFERROR(VLOOKUP(G17,Database!F:G,2,0),0)</f>
        <v>900</v>
      </c>
      <c r="V17" s="66">
        <v>1</v>
      </c>
      <c r="W17" s="84">
        <f t="shared" si="9"/>
        <v>0.96494559999999996</v>
      </c>
      <c r="X17" s="67">
        <f t="shared" si="4"/>
        <v>770</v>
      </c>
      <c r="Y17" s="66">
        <v>1</v>
      </c>
      <c r="Z17" s="84">
        <f t="shared" si="10"/>
        <v>0.96494559999999996</v>
      </c>
      <c r="AA17" s="67">
        <f t="shared" si="5"/>
        <v>770</v>
      </c>
      <c r="AB17" s="66">
        <v>1</v>
      </c>
      <c r="AC17" s="84">
        <f t="shared" si="11"/>
        <v>0.96494559999999996</v>
      </c>
      <c r="AD17" s="67">
        <f t="shared" si="6"/>
        <v>770</v>
      </c>
      <c r="AE17" s="66">
        <v>1</v>
      </c>
      <c r="AF17" s="84">
        <f t="shared" si="12"/>
        <v>0.72181018113207551</v>
      </c>
      <c r="AG17" s="228">
        <f t="shared" si="13"/>
        <v>580</v>
      </c>
    </row>
    <row r="18" spans="1:35" s="8" customFormat="1">
      <c r="A18" s="60">
        <f t="shared" si="0"/>
        <v>11</v>
      </c>
      <c r="B18" s="61">
        <v>4734</v>
      </c>
      <c r="C18" s="62" t="s">
        <v>266</v>
      </c>
      <c r="D18" s="62" t="s">
        <v>259</v>
      </c>
      <c r="E18" s="62"/>
      <c r="F18" s="62" t="s">
        <v>397</v>
      </c>
      <c r="G18" s="62" t="s">
        <v>398</v>
      </c>
      <c r="H18" s="62"/>
      <c r="I18" s="62" t="s">
        <v>360</v>
      </c>
      <c r="J18" s="342">
        <v>5</v>
      </c>
      <c r="K18" s="342">
        <v>4</v>
      </c>
      <c r="L18" s="342">
        <v>5</v>
      </c>
      <c r="M18" s="342">
        <v>5</v>
      </c>
      <c r="N18" s="342">
        <v>4</v>
      </c>
      <c r="O18" s="342">
        <v>4</v>
      </c>
      <c r="P18" s="342">
        <v>4</v>
      </c>
      <c r="Q18" s="342">
        <v>3</v>
      </c>
      <c r="R18" s="63">
        <f t="shared" si="7"/>
        <v>4.45</v>
      </c>
      <c r="S18" s="88">
        <f t="shared" si="2"/>
        <v>0.8899999999999999</v>
      </c>
      <c r="T18" s="65" t="str">
        <f t="shared" si="8"/>
        <v>Grade-B</v>
      </c>
      <c r="U18" s="123">
        <f>IFERROR(VLOOKUP(G18,Database!F:G,2,0),0)</f>
        <v>900</v>
      </c>
      <c r="V18" s="66">
        <v>1</v>
      </c>
      <c r="W18" s="84">
        <f t="shared" si="9"/>
        <v>0.96494559999999996</v>
      </c>
      <c r="X18" s="67">
        <f t="shared" si="4"/>
        <v>780</v>
      </c>
      <c r="Y18" s="66">
        <v>1</v>
      </c>
      <c r="Z18" s="84">
        <f t="shared" si="10"/>
        <v>0.96494559999999996</v>
      </c>
      <c r="AA18" s="67">
        <f t="shared" si="5"/>
        <v>780</v>
      </c>
      <c r="AB18" s="66">
        <v>1</v>
      </c>
      <c r="AC18" s="84">
        <f t="shared" si="11"/>
        <v>0.96494559999999996</v>
      </c>
      <c r="AD18" s="67">
        <f t="shared" si="6"/>
        <v>780</v>
      </c>
      <c r="AE18" s="66">
        <v>1</v>
      </c>
      <c r="AF18" s="84">
        <f t="shared" si="12"/>
        <v>0.72181018113207551</v>
      </c>
      <c r="AG18" s="228">
        <f t="shared" si="13"/>
        <v>580</v>
      </c>
    </row>
    <row r="19" spans="1:35">
      <c r="A19" s="60">
        <f t="shared" si="0"/>
        <v>12</v>
      </c>
      <c r="B19" s="61">
        <v>2869</v>
      </c>
      <c r="C19" s="62" t="s">
        <v>268</v>
      </c>
      <c r="D19" s="62" t="s">
        <v>259</v>
      </c>
      <c r="E19" s="62"/>
      <c r="F19" s="62" t="s">
        <v>397</v>
      </c>
      <c r="G19" s="62" t="s">
        <v>397</v>
      </c>
      <c r="H19" s="62"/>
      <c r="I19" s="62" t="s">
        <v>360</v>
      </c>
      <c r="J19" s="342">
        <v>5</v>
      </c>
      <c r="K19" s="342">
        <v>4</v>
      </c>
      <c r="L19" s="342">
        <v>4</v>
      </c>
      <c r="M19" s="342">
        <v>4</v>
      </c>
      <c r="N19" s="342">
        <v>4</v>
      </c>
      <c r="O19" s="342">
        <v>5</v>
      </c>
      <c r="P19" s="342">
        <v>5</v>
      </c>
      <c r="Q19" s="342">
        <v>4</v>
      </c>
      <c r="R19" s="63">
        <f t="shared" si="7"/>
        <v>4.45</v>
      </c>
      <c r="S19" s="64">
        <f t="shared" si="2"/>
        <v>0.8899999999999999</v>
      </c>
      <c r="T19" s="65" t="str">
        <f t="shared" si="8"/>
        <v>Grade-B</v>
      </c>
      <c r="U19" s="123">
        <f>IFERROR(VLOOKUP(G19,Database!F:G,2,0),0)</f>
        <v>700</v>
      </c>
      <c r="V19" s="66">
        <v>1</v>
      </c>
      <c r="W19" s="84">
        <f t="shared" si="9"/>
        <v>0.96494559999999996</v>
      </c>
      <c r="X19" s="67">
        <f t="shared" si="4"/>
        <v>610</v>
      </c>
      <c r="Y19" s="66">
        <v>1</v>
      </c>
      <c r="Z19" s="84">
        <f t="shared" si="10"/>
        <v>0.96494559999999996</v>
      </c>
      <c r="AA19" s="67">
        <f t="shared" si="5"/>
        <v>610</v>
      </c>
      <c r="AB19" s="66">
        <v>0</v>
      </c>
      <c r="AC19" s="84">
        <f t="shared" si="11"/>
        <v>0.96494559999999996</v>
      </c>
      <c r="AD19" s="67">
        <f t="shared" si="6"/>
        <v>0</v>
      </c>
      <c r="AE19" s="66">
        <v>1.1000000000000001</v>
      </c>
      <c r="AF19" s="84">
        <f t="shared" si="12"/>
        <v>0.72181018113207551</v>
      </c>
      <c r="AG19" s="228">
        <f t="shared" si="13"/>
        <v>500</v>
      </c>
      <c r="AH19" s="8"/>
    </row>
    <row r="20" spans="1:35" s="8" customFormat="1">
      <c r="A20" s="60">
        <f t="shared" si="0"/>
        <v>13</v>
      </c>
      <c r="B20" s="61">
        <v>2930</v>
      </c>
      <c r="C20" s="62" t="s">
        <v>269</v>
      </c>
      <c r="D20" s="62" t="s">
        <v>255</v>
      </c>
      <c r="E20" s="62"/>
      <c r="F20" s="62" t="s">
        <v>398</v>
      </c>
      <c r="G20" s="62" t="s">
        <v>398</v>
      </c>
      <c r="H20" s="62"/>
      <c r="I20" s="62" t="s">
        <v>360</v>
      </c>
      <c r="J20" s="342">
        <v>5</v>
      </c>
      <c r="K20" s="342">
        <v>5</v>
      </c>
      <c r="L20" s="342">
        <v>4</v>
      </c>
      <c r="M20" s="342">
        <v>5</v>
      </c>
      <c r="N20" s="342">
        <v>4</v>
      </c>
      <c r="O20" s="342">
        <v>5</v>
      </c>
      <c r="P20" s="342">
        <v>4</v>
      </c>
      <c r="Q20" s="342">
        <v>5</v>
      </c>
      <c r="R20" s="63">
        <f t="shared" si="7"/>
        <v>4.75</v>
      </c>
      <c r="S20" s="88">
        <f t="shared" si="2"/>
        <v>0.95</v>
      </c>
      <c r="T20" s="65" t="str">
        <f t="shared" si="8"/>
        <v>Grade-A</v>
      </c>
      <c r="U20" s="123">
        <f>IFERROR(VLOOKUP(G20,Database!F:G,2,0),0)</f>
        <v>900</v>
      </c>
      <c r="V20" s="66">
        <v>1</v>
      </c>
      <c r="W20" s="84">
        <f t="shared" si="9"/>
        <v>0.96494559999999996</v>
      </c>
      <c r="X20" s="67">
        <f t="shared" si="4"/>
        <v>830</v>
      </c>
      <c r="Y20" s="66">
        <v>1</v>
      </c>
      <c r="Z20" s="84">
        <f t="shared" si="10"/>
        <v>0.96494559999999996</v>
      </c>
      <c r="AA20" s="67">
        <f t="shared" si="5"/>
        <v>830</v>
      </c>
      <c r="AB20" s="66">
        <v>1</v>
      </c>
      <c r="AC20" s="84">
        <f t="shared" si="11"/>
        <v>0.96494559999999996</v>
      </c>
      <c r="AD20" s="67">
        <f t="shared" si="6"/>
        <v>830</v>
      </c>
      <c r="AE20" s="66">
        <v>1</v>
      </c>
      <c r="AF20" s="84">
        <f t="shared" si="12"/>
        <v>0.72181018113207551</v>
      </c>
      <c r="AG20" s="228">
        <f t="shared" si="13"/>
        <v>620</v>
      </c>
    </row>
    <row r="21" spans="1:35">
      <c r="A21" s="60">
        <f t="shared" si="0"/>
        <v>14</v>
      </c>
      <c r="B21" s="61">
        <v>2979</v>
      </c>
      <c r="C21" s="62" t="s">
        <v>270</v>
      </c>
      <c r="D21" s="62" t="s">
        <v>271</v>
      </c>
      <c r="E21" s="62"/>
      <c r="F21" s="62" t="s">
        <v>401</v>
      </c>
      <c r="G21" s="62" t="s">
        <v>401</v>
      </c>
      <c r="H21" s="62"/>
      <c r="I21" s="62" t="s">
        <v>360</v>
      </c>
      <c r="J21" s="342">
        <v>4</v>
      </c>
      <c r="K21" s="342">
        <v>5</v>
      </c>
      <c r="L21" s="342">
        <v>5</v>
      </c>
      <c r="M21" s="342">
        <v>5</v>
      </c>
      <c r="N21" s="342">
        <v>5</v>
      </c>
      <c r="O21" s="342">
        <v>5</v>
      </c>
      <c r="P21" s="342">
        <v>5</v>
      </c>
      <c r="Q21" s="342">
        <v>5</v>
      </c>
      <c r="R21" s="63">
        <f t="shared" si="7"/>
        <v>4.7</v>
      </c>
      <c r="S21" s="64">
        <f t="shared" si="2"/>
        <v>0.94000000000000006</v>
      </c>
      <c r="T21" s="65" t="str">
        <f t="shared" si="8"/>
        <v>Grade-A</v>
      </c>
      <c r="U21" s="123">
        <f>IFERROR(VLOOKUP(G21,Database!F:G,2,0),0)</f>
        <v>1100</v>
      </c>
      <c r="V21" s="66">
        <v>1</v>
      </c>
      <c r="W21" s="84">
        <f t="shared" si="9"/>
        <v>0.96494559999999996</v>
      </c>
      <c r="X21" s="67">
        <f t="shared" si="4"/>
        <v>1000</v>
      </c>
      <c r="Y21" s="66">
        <v>1</v>
      </c>
      <c r="Z21" s="84">
        <f t="shared" si="10"/>
        <v>0.96494559999999996</v>
      </c>
      <c r="AA21" s="67">
        <f t="shared" si="5"/>
        <v>1000</v>
      </c>
      <c r="AB21" s="66">
        <v>0</v>
      </c>
      <c r="AC21" s="84">
        <f t="shared" si="11"/>
        <v>0.96494559999999996</v>
      </c>
      <c r="AD21" s="67">
        <f t="shared" si="6"/>
        <v>0</v>
      </c>
      <c r="AE21" s="66">
        <v>1</v>
      </c>
      <c r="AF21" s="84">
        <f t="shared" si="12"/>
        <v>0.72181018113207551</v>
      </c>
      <c r="AG21" s="228">
        <f t="shared" si="13"/>
        <v>750</v>
      </c>
      <c r="AH21" s="8"/>
    </row>
    <row r="22" spans="1:35" s="8" customFormat="1">
      <c r="A22" s="60">
        <f t="shared" si="0"/>
        <v>15</v>
      </c>
      <c r="B22" s="69">
        <v>3038</v>
      </c>
      <c r="C22" s="70" t="s">
        <v>272</v>
      </c>
      <c r="D22" s="62" t="s">
        <v>255</v>
      </c>
      <c r="E22" s="62"/>
      <c r="F22" s="62" t="s">
        <v>398</v>
      </c>
      <c r="G22" s="62" t="s">
        <v>366</v>
      </c>
      <c r="H22" s="62"/>
      <c r="I22" s="62" t="s">
        <v>360</v>
      </c>
      <c r="J22" s="342">
        <v>5</v>
      </c>
      <c r="K22" s="342">
        <v>4</v>
      </c>
      <c r="L22" s="342">
        <v>5</v>
      </c>
      <c r="M22" s="342">
        <v>5</v>
      </c>
      <c r="N22" s="342">
        <v>5</v>
      </c>
      <c r="O22" s="342">
        <v>5</v>
      </c>
      <c r="P22" s="342">
        <v>5</v>
      </c>
      <c r="Q22" s="342">
        <v>4</v>
      </c>
      <c r="R22" s="63">
        <f t="shared" si="7"/>
        <v>4.75</v>
      </c>
      <c r="S22" s="88">
        <f t="shared" si="2"/>
        <v>0.95</v>
      </c>
      <c r="T22" s="65" t="str">
        <f t="shared" si="8"/>
        <v>Grade-A</v>
      </c>
      <c r="U22" s="123">
        <f>IFERROR(VLOOKUP(G22,Database!F:G,2,0),0)</f>
        <v>1300</v>
      </c>
      <c r="V22" s="66">
        <v>1</v>
      </c>
      <c r="W22" s="84">
        <f t="shared" si="9"/>
        <v>0.96494559999999996</v>
      </c>
      <c r="X22" s="67">
        <f t="shared" si="4"/>
        <v>1200</v>
      </c>
      <c r="Y22" s="66">
        <v>1</v>
      </c>
      <c r="Z22" s="84">
        <f t="shared" si="10"/>
        <v>0.96494559999999996</v>
      </c>
      <c r="AA22" s="67">
        <f t="shared" si="5"/>
        <v>1200</v>
      </c>
      <c r="AB22" s="66">
        <v>1</v>
      </c>
      <c r="AC22" s="84">
        <f t="shared" si="11"/>
        <v>0.96494559999999996</v>
      </c>
      <c r="AD22" s="67">
        <f t="shared" si="6"/>
        <v>1200</v>
      </c>
      <c r="AE22" s="66">
        <v>1</v>
      </c>
      <c r="AF22" s="84">
        <f t="shared" si="12"/>
        <v>0.72181018113207551</v>
      </c>
      <c r="AG22" s="228">
        <f t="shared" si="13"/>
        <v>900</v>
      </c>
    </row>
    <row r="23" spans="1:35" s="41" customFormat="1">
      <c r="A23" s="60">
        <f t="shared" si="0"/>
        <v>16</v>
      </c>
      <c r="B23" s="290">
        <v>3464</v>
      </c>
      <c r="C23" s="291" t="s">
        <v>273</v>
      </c>
      <c r="D23" s="291" t="s">
        <v>255</v>
      </c>
      <c r="E23" s="291"/>
      <c r="F23" s="291" t="s">
        <v>398</v>
      </c>
      <c r="G23" s="291" t="s">
        <v>398</v>
      </c>
      <c r="H23" s="291"/>
      <c r="I23" s="291" t="s">
        <v>776</v>
      </c>
      <c r="J23" s="344">
        <v>5</v>
      </c>
      <c r="K23" s="344">
        <v>5</v>
      </c>
      <c r="L23" s="344">
        <v>5</v>
      </c>
      <c r="M23" s="344">
        <v>4</v>
      </c>
      <c r="N23" s="344">
        <v>4</v>
      </c>
      <c r="O23" s="344">
        <v>4</v>
      </c>
      <c r="P23" s="344">
        <v>4</v>
      </c>
      <c r="Q23" s="344">
        <v>5</v>
      </c>
      <c r="R23" s="292">
        <f t="shared" si="7"/>
        <v>4.6500000000000004</v>
      </c>
      <c r="S23" s="293">
        <f t="shared" si="2"/>
        <v>0.92999999999999994</v>
      </c>
      <c r="T23" s="294" t="str">
        <f t="shared" si="8"/>
        <v>Grade-A</v>
      </c>
      <c r="U23" s="295">
        <f>IFERROR(VLOOKUP(G23,Database!F:G,2,0),0)</f>
        <v>900</v>
      </c>
      <c r="V23" s="296">
        <v>1</v>
      </c>
      <c r="W23" s="297">
        <f t="shared" si="9"/>
        <v>0.96494559999999996</v>
      </c>
      <c r="X23" s="298">
        <f t="shared" si="4"/>
        <v>810</v>
      </c>
      <c r="Y23" s="296">
        <v>1</v>
      </c>
      <c r="Z23" s="297">
        <f t="shared" si="10"/>
        <v>0.96494559999999996</v>
      </c>
      <c r="AA23" s="298">
        <f t="shared" si="5"/>
        <v>810</v>
      </c>
      <c r="AB23" s="296">
        <v>1</v>
      </c>
      <c r="AC23" s="297">
        <f t="shared" si="11"/>
        <v>0.96494559999999996</v>
      </c>
      <c r="AD23" s="298">
        <f t="shared" si="6"/>
        <v>810</v>
      </c>
      <c r="AE23" s="296">
        <v>0.32</v>
      </c>
      <c r="AF23" s="297">
        <f t="shared" si="12"/>
        <v>0.72181018113207551</v>
      </c>
      <c r="AG23" s="299">
        <f t="shared" si="13"/>
        <v>200</v>
      </c>
      <c r="AH23" s="8"/>
    </row>
    <row r="24" spans="1:35" s="8" customFormat="1">
      <c r="A24" s="60">
        <f t="shared" si="0"/>
        <v>17</v>
      </c>
      <c r="B24" s="61">
        <v>3469</v>
      </c>
      <c r="C24" s="62" t="s">
        <v>274</v>
      </c>
      <c r="D24" s="62" t="s">
        <v>255</v>
      </c>
      <c r="E24" s="62"/>
      <c r="F24" s="62" t="s">
        <v>398</v>
      </c>
      <c r="G24" s="62" t="s">
        <v>398</v>
      </c>
      <c r="H24" s="62"/>
      <c r="I24" s="62" t="s">
        <v>360</v>
      </c>
      <c r="J24" s="342">
        <v>5</v>
      </c>
      <c r="K24" s="342">
        <v>5</v>
      </c>
      <c r="L24" s="342">
        <v>4</v>
      </c>
      <c r="M24" s="342">
        <v>4</v>
      </c>
      <c r="N24" s="342">
        <v>5</v>
      </c>
      <c r="O24" s="342">
        <v>5</v>
      </c>
      <c r="P24" s="342">
        <v>4</v>
      </c>
      <c r="Q24" s="342">
        <v>5</v>
      </c>
      <c r="R24" s="63">
        <f t="shared" si="7"/>
        <v>4.75</v>
      </c>
      <c r="S24" s="64">
        <f t="shared" si="2"/>
        <v>0.95</v>
      </c>
      <c r="T24" s="65" t="str">
        <f t="shared" si="8"/>
        <v>Grade-A</v>
      </c>
      <c r="U24" s="123">
        <f>IFERROR(VLOOKUP(G24,Database!F:G,2,0),0)</f>
        <v>900</v>
      </c>
      <c r="V24" s="66">
        <v>1</v>
      </c>
      <c r="W24" s="84">
        <f t="shared" si="9"/>
        <v>0.96494559999999996</v>
      </c>
      <c r="X24" s="67">
        <f t="shared" si="4"/>
        <v>830</v>
      </c>
      <c r="Y24" s="66">
        <v>1</v>
      </c>
      <c r="Z24" s="84">
        <f t="shared" si="10"/>
        <v>0.96494559999999996</v>
      </c>
      <c r="AA24" s="67">
        <f t="shared" si="5"/>
        <v>830</v>
      </c>
      <c r="AB24" s="66">
        <v>1</v>
      </c>
      <c r="AC24" s="84">
        <f t="shared" si="11"/>
        <v>0.96494559999999996</v>
      </c>
      <c r="AD24" s="67">
        <f t="shared" si="6"/>
        <v>830</v>
      </c>
      <c r="AE24" s="66">
        <v>1.1000000000000001</v>
      </c>
      <c r="AF24" s="84">
        <f t="shared" si="12"/>
        <v>0.72181018113207551</v>
      </c>
      <c r="AG24" s="228">
        <f t="shared" si="13"/>
        <v>680</v>
      </c>
    </row>
    <row r="25" spans="1:35">
      <c r="A25" s="60">
        <f t="shared" si="0"/>
        <v>18</v>
      </c>
      <c r="B25" s="69">
        <v>4663</v>
      </c>
      <c r="C25" s="70" t="s">
        <v>275</v>
      </c>
      <c r="D25" s="62" t="s">
        <v>174</v>
      </c>
      <c r="E25" s="62"/>
      <c r="F25" s="62" t="s">
        <v>366</v>
      </c>
      <c r="G25" s="62" t="s">
        <v>365</v>
      </c>
      <c r="H25" s="62"/>
      <c r="I25" s="62" t="s">
        <v>360</v>
      </c>
      <c r="J25" s="342">
        <v>4</v>
      </c>
      <c r="K25" s="342">
        <v>5</v>
      </c>
      <c r="L25" s="342">
        <v>5</v>
      </c>
      <c r="M25" s="342">
        <v>4</v>
      </c>
      <c r="N25" s="342">
        <v>4</v>
      </c>
      <c r="O25" s="342">
        <v>5</v>
      </c>
      <c r="P25" s="342">
        <v>4</v>
      </c>
      <c r="Q25" s="342">
        <v>4</v>
      </c>
      <c r="R25" s="63">
        <f t="shared" si="7"/>
        <v>4.4000000000000004</v>
      </c>
      <c r="S25" s="88">
        <f t="shared" si="2"/>
        <v>0.88</v>
      </c>
      <c r="T25" s="65" t="str">
        <f t="shared" si="8"/>
        <v>Grade-B</v>
      </c>
      <c r="U25" s="123">
        <f>IFERROR(VLOOKUP(G25,Database!F:G,2,0),0)</f>
        <v>1700</v>
      </c>
      <c r="V25" s="66">
        <v>1</v>
      </c>
      <c r="W25" s="84">
        <f t="shared" si="9"/>
        <v>0.96494559999999996</v>
      </c>
      <c r="X25" s="67">
        <f t="shared" si="4"/>
        <v>1450</v>
      </c>
      <c r="Y25" s="66">
        <v>1</v>
      </c>
      <c r="Z25" s="84">
        <f t="shared" si="10"/>
        <v>0.96494559999999996</v>
      </c>
      <c r="AA25" s="67">
        <f t="shared" si="5"/>
        <v>1450</v>
      </c>
      <c r="AB25" s="66">
        <v>1</v>
      </c>
      <c r="AC25" s="84">
        <f t="shared" si="11"/>
        <v>0.96494559999999996</v>
      </c>
      <c r="AD25" s="67">
        <f t="shared" si="6"/>
        <v>1450</v>
      </c>
      <c r="AE25" s="66">
        <v>1</v>
      </c>
      <c r="AF25" s="84">
        <f t="shared" si="12"/>
        <v>0.72181018113207551</v>
      </c>
      <c r="AG25" s="228">
        <f t="shared" si="13"/>
        <v>1080</v>
      </c>
    </row>
    <row r="26" spans="1:35" hidden="1">
      <c r="A26" s="370">
        <f t="shared" si="0"/>
        <v>19</v>
      </c>
      <c r="B26" s="271">
        <v>11085</v>
      </c>
      <c r="C26" s="272" t="s">
        <v>278</v>
      </c>
      <c r="D26" s="272" t="s">
        <v>60</v>
      </c>
      <c r="E26" s="272"/>
      <c r="F26" s="272" t="s">
        <v>33</v>
      </c>
      <c r="G26" s="273" t="s">
        <v>368</v>
      </c>
      <c r="H26" s="272" t="s">
        <v>368</v>
      </c>
      <c r="I26" s="272" t="s">
        <v>360</v>
      </c>
      <c r="J26" s="345">
        <v>5</v>
      </c>
      <c r="K26" s="345">
        <v>4</v>
      </c>
      <c r="L26" s="345">
        <v>5</v>
      </c>
      <c r="M26" s="345">
        <v>4</v>
      </c>
      <c r="N26" s="345">
        <v>4</v>
      </c>
      <c r="O26" s="345">
        <v>5</v>
      </c>
      <c r="P26" s="345">
        <v>5</v>
      </c>
      <c r="Q26" s="345">
        <v>4</v>
      </c>
      <c r="R26" s="275">
        <f t="shared" si="7"/>
        <v>4.55</v>
      </c>
      <c r="S26" s="276">
        <f t="shared" si="2"/>
        <v>0.90999999999999992</v>
      </c>
      <c r="T26" s="277" t="str">
        <f t="shared" si="8"/>
        <v>Grade-A</v>
      </c>
      <c r="U26" s="304">
        <f>IFERROR(VLOOKUP(G26,Database!F:G,2,0),0)</f>
        <v>850</v>
      </c>
      <c r="V26" s="278">
        <v>1</v>
      </c>
      <c r="W26" s="300">
        <f t="shared" si="9"/>
        <v>0.96494559999999996</v>
      </c>
      <c r="X26" s="280">
        <f t="shared" si="4"/>
        <v>750</v>
      </c>
      <c r="Y26" s="278">
        <v>1</v>
      </c>
      <c r="Z26" s="300">
        <f t="shared" si="10"/>
        <v>0.96494559999999996</v>
      </c>
      <c r="AA26" s="280">
        <f t="shared" si="5"/>
        <v>750</v>
      </c>
      <c r="AB26" s="278">
        <v>1</v>
      </c>
      <c r="AC26" s="300">
        <f t="shared" si="11"/>
        <v>0.96494559999999996</v>
      </c>
      <c r="AD26" s="280">
        <f t="shared" si="6"/>
        <v>750</v>
      </c>
      <c r="AE26" s="278">
        <v>0</v>
      </c>
      <c r="AF26" s="300">
        <f t="shared" si="12"/>
        <v>0.72181018113207551</v>
      </c>
      <c r="AG26" s="281">
        <f t="shared" si="13"/>
        <v>0</v>
      </c>
    </row>
    <row r="27" spans="1:35">
      <c r="A27" s="60">
        <f t="shared" si="0"/>
        <v>20</v>
      </c>
      <c r="B27" s="61">
        <v>17760</v>
      </c>
      <c r="C27" s="62" t="s">
        <v>354</v>
      </c>
      <c r="D27" s="62" t="s">
        <v>33</v>
      </c>
      <c r="E27" s="62"/>
      <c r="F27" s="62" t="s">
        <v>33</v>
      </c>
      <c r="G27" s="36" t="s">
        <v>368</v>
      </c>
      <c r="H27" s="62" t="s">
        <v>368</v>
      </c>
      <c r="I27" s="62" t="s">
        <v>360</v>
      </c>
      <c r="J27" s="346">
        <v>4</v>
      </c>
      <c r="K27" s="346">
        <v>4</v>
      </c>
      <c r="L27" s="346">
        <v>4</v>
      </c>
      <c r="M27" s="346">
        <v>3</v>
      </c>
      <c r="N27" s="346">
        <v>4</v>
      </c>
      <c r="O27" s="346">
        <v>5</v>
      </c>
      <c r="P27" s="346">
        <v>5</v>
      </c>
      <c r="Q27" s="346">
        <v>5</v>
      </c>
      <c r="R27" s="63">
        <f t="shared" si="7"/>
        <v>4.0999999999999996</v>
      </c>
      <c r="S27" s="88">
        <f t="shared" si="2"/>
        <v>0.82000000000000006</v>
      </c>
      <c r="T27" s="65" t="str">
        <f t="shared" si="8"/>
        <v>Grade-B</v>
      </c>
      <c r="U27" s="123">
        <f>IFERROR(VLOOKUP(G27,Database!F:G,2,0),0)</f>
        <v>850</v>
      </c>
      <c r="V27" s="66">
        <v>1</v>
      </c>
      <c r="W27" s="84">
        <f t="shared" si="9"/>
        <v>0.96494559999999996</v>
      </c>
      <c r="X27" s="67">
        <f t="shared" si="4"/>
        <v>680</v>
      </c>
      <c r="Y27" s="66">
        <v>1</v>
      </c>
      <c r="Z27" s="84">
        <f t="shared" si="10"/>
        <v>0.96494559999999996</v>
      </c>
      <c r="AA27" s="67">
        <f t="shared" si="5"/>
        <v>680</v>
      </c>
      <c r="AB27" s="66">
        <v>1</v>
      </c>
      <c r="AC27" s="84">
        <f t="shared" si="11"/>
        <v>0.96494559999999996</v>
      </c>
      <c r="AD27" s="67">
        <f t="shared" si="6"/>
        <v>680</v>
      </c>
      <c r="AE27" s="66">
        <v>1</v>
      </c>
      <c r="AF27" s="84">
        <f t="shared" si="12"/>
        <v>0.72181018113207551</v>
      </c>
      <c r="AG27" s="228">
        <f t="shared" si="13"/>
        <v>510</v>
      </c>
    </row>
    <row r="28" spans="1:35">
      <c r="A28" s="60">
        <f t="shared" si="0"/>
        <v>21</v>
      </c>
      <c r="B28" s="61">
        <v>7879</v>
      </c>
      <c r="C28" s="62" t="s">
        <v>280</v>
      </c>
      <c r="D28" s="62" t="s">
        <v>259</v>
      </c>
      <c r="E28" s="62"/>
      <c r="F28" s="62" t="s">
        <v>397</v>
      </c>
      <c r="G28" s="36" t="s">
        <v>397</v>
      </c>
      <c r="H28" s="62"/>
      <c r="I28" s="62" t="s">
        <v>360</v>
      </c>
      <c r="J28" s="346">
        <v>4</v>
      </c>
      <c r="K28" s="346">
        <v>5</v>
      </c>
      <c r="L28" s="346">
        <v>5</v>
      </c>
      <c r="M28" s="346">
        <v>5</v>
      </c>
      <c r="N28" s="346">
        <v>3</v>
      </c>
      <c r="O28" s="346">
        <v>4</v>
      </c>
      <c r="P28" s="346">
        <v>4</v>
      </c>
      <c r="Q28" s="346">
        <v>4</v>
      </c>
      <c r="R28" s="63">
        <f t="shared" si="7"/>
        <v>4.3</v>
      </c>
      <c r="S28" s="64">
        <f t="shared" si="2"/>
        <v>0.86</v>
      </c>
      <c r="T28" s="65" t="str">
        <f t="shared" si="8"/>
        <v>Grade-B</v>
      </c>
      <c r="U28" s="123">
        <f>IFERROR(VLOOKUP(G28,Database!F:G,2,0),0)</f>
        <v>700</v>
      </c>
      <c r="V28" s="66">
        <v>1</v>
      </c>
      <c r="W28" s="84">
        <f t="shared" si="9"/>
        <v>0.96494559999999996</v>
      </c>
      <c r="X28" s="67">
        <f t="shared" si="4"/>
        <v>590</v>
      </c>
      <c r="Y28" s="66">
        <v>1</v>
      </c>
      <c r="Z28" s="84">
        <f t="shared" si="10"/>
        <v>0.96494559999999996</v>
      </c>
      <c r="AA28" s="67">
        <f t="shared" si="5"/>
        <v>590</v>
      </c>
      <c r="AB28" s="66">
        <v>0.97</v>
      </c>
      <c r="AC28" s="84">
        <f t="shared" si="11"/>
        <v>0.96494559999999996</v>
      </c>
      <c r="AD28" s="67">
        <f t="shared" si="6"/>
        <v>570</v>
      </c>
      <c r="AE28" s="66">
        <v>0.97</v>
      </c>
      <c r="AF28" s="84">
        <f t="shared" si="12"/>
        <v>0.72181018113207551</v>
      </c>
      <c r="AG28" s="228">
        <f t="shared" si="13"/>
        <v>430</v>
      </c>
    </row>
    <row r="29" spans="1:35" s="8" customFormat="1">
      <c r="A29" s="60">
        <f t="shared" si="0"/>
        <v>22</v>
      </c>
      <c r="B29" s="61">
        <v>17794</v>
      </c>
      <c r="C29" s="62" t="s">
        <v>283</v>
      </c>
      <c r="D29" s="62" t="s">
        <v>32</v>
      </c>
      <c r="E29" s="62"/>
      <c r="F29" s="62" t="s">
        <v>370</v>
      </c>
      <c r="G29" s="36" t="s">
        <v>370</v>
      </c>
      <c r="H29" s="62"/>
      <c r="I29" s="62" t="s">
        <v>360</v>
      </c>
      <c r="J29" s="346">
        <v>5</v>
      </c>
      <c r="K29" s="346">
        <v>4</v>
      </c>
      <c r="L29" s="346">
        <v>5</v>
      </c>
      <c r="M29" s="346">
        <v>3</v>
      </c>
      <c r="N29" s="346">
        <v>4</v>
      </c>
      <c r="O29" s="346">
        <v>4</v>
      </c>
      <c r="P29" s="346">
        <v>4</v>
      </c>
      <c r="Q29" s="346">
        <v>4</v>
      </c>
      <c r="R29" s="63">
        <f t="shared" si="7"/>
        <v>4.3</v>
      </c>
      <c r="S29" s="88">
        <f t="shared" si="2"/>
        <v>0.85999999999999988</v>
      </c>
      <c r="T29" s="65" t="str">
        <f t="shared" si="8"/>
        <v>Grade-B</v>
      </c>
      <c r="U29" s="123">
        <f>IFERROR(VLOOKUP(G29,Database!F:G,2,0),0)</f>
        <v>600</v>
      </c>
      <c r="V29" s="66">
        <v>1</v>
      </c>
      <c r="W29" s="84">
        <f t="shared" si="9"/>
        <v>0.96494559999999996</v>
      </c>
      <c r="X29" s="67">
        <f t="shared" si="4"/>
        <v>500</v>
      </c>
      <c r="Y29" s="66">
        <v>1</v>
      </c>
      <c r="Z29" s="84">
        <f t="shared" si="10"/>
        <v>0.96494559999999996</v>
      </c>
      <c r="AA29" s="67">
        <f t="shared" si="5"/>
        <v>500</v>
      </c>
      <c r="AB29" s="66">
        <v>1</v>
      </c>
      <c r="AC29" s="84">
        <f t="shared" si="11"/>
        <v>0.96494559999999996</v>
      </c>
      <c r="AD29" s="67">
        <f t="shared" si="6"/>
        <v>500</v>
      </c>
      <c r="AE29" s="66">
        <v>1</v>
      </c>
      <c r="AF29" s="84">
        <f t="shared" si="12"/>
        <v>0.72181018113207551</v>
      </c>
      <c r="AG29" s="228">
        <f t="shared" si="13"/>
        <v>380</v>
      </c>
      <c r="AH29" s="16"/>
      <c r="AI29" s="16"/>
    </row>
    <row r="30" spans="1:35">
      <c r="A30" s="60">
        <f t="shared" si="0"/>
        <v>23</v>
      </c>
      <c r="B30" s="61">
        <v>16747</v>
      </c>
      <c r="C30" s="62" t="s">
        <v>284</v>
      </c>
      <c r="D30" s="62" t="s">
        <v>285</v>
      </c>
      <c r="E30" s="62"/>
      <c r="F30" s="62" t="s">
        <v>402</v>
      </c>
      <c r="G30" s="36" t="s">
        <v>402</v>
      </c>
      <c r="H30" s="62"/>
      <c r="I30" s="62" t="s">
        <v>360</v>
      </c>
      <c r="J30" s="346">
        <v>5</v>
      </c>
      <c r="K30" s="346">
        <v>4</v>
      </c>
      <c r="L30" s="346">
        <v>4</v>
      </c>
      <c r="M30" s="346">
        <v>4</v>
      </c>
      <c r="N30" s="346">
        <v>4</v>
      </c>
      <c r="O30" s="346">
        <v>4</v>
      </c>
      <c r="P30" s="346">
        <v>4</v>
      </c>
      <c r="Q30" s="346">
        <v>5</v>
      </c>
      <c r="R30" s="63">
        <f t="shared" si="7"/>
        <v>4.3499999999999996</v>
      </c>
      <c r="S30" s="88">
        <f t="shared" si="2"/>
        <v>0.86999999999999988</v>
      </c>
      <c r="T30" s="65" t="str">
        <f t="shared" si="8"/>
        <v>Grade-B</v>
      </c>
      <c r="U30" s="123">
        <f>IFERROR(VLOOKUP(G30,Database!F:G,2,0),0)</f>
        <v>850</v>
      </c>
      <c r="V30" s="66">
        <v>1</v>
      </c>
      <c r="W30" s="84">
        <f t="shared" si="9"/>
        <v>0.96494559999999996</v>
      </c>
      <c r="X30" s="67">
        <f t="shared" si="4"/>
        <v>720</v>
      </c>
      <c r="Y30" s="66">
        <v>1</v>
      </c>
      <c r="Z30" s="84">
        <f t="shared" si="10"/>
        <v>0.96494559999999996</v>
      </c>
      <c r="AA30" s="67">
        <f t="shared" si="5"/>
        <v>720</v>
      </c>
      <c r="AB30" s="66">
        <v>0.23</v>
      </c>
      <c r="AC30" s="84">
        <f t="shared" si="11"/>
        <v>0.96494559999999996</v>
      </c>
      <c r="AD30" s="67">
        <f t="shared" si="6"/>
        <v>170</v>
      </c>
      <c r="AE30" s="66">
        <v>1</v>
      </c>
      <c r="AF30" s="84">
        <f t="shared" si="12"/>
        <v>0.72181018113207551</v>
      </c>
      <c r="AG30" s="228">
        <f t="shared" si="13"/>
        <v>540</v>
      </c>
    </row>
    <row r="31" spans="1:35">
      <c r="A31" s="60">
        <f t="shared" si="0"/>
        <v>24</v>
      </c>
      <c r="B31" s="69">
        <v>17789</v>
      </c>
      <c r="C31" s="70" t="s">
        <v>286</v>
      </c>
      <c r="D31" s="62" t="s">
        <v>287</v>
      </c>
      <c r="E31" s="62"/>
      <c r="F31" s="62" t="s">
        <v>366</v>
      </c>
      <c r="G31" s="36" t="s">
        <v>366</v>
      </c>
      <c r="H31" s="62"/>
      <c r="I31" s="62" t="s">
        <v>360</v>
      </c>
      <c r="J31" s="346">
        <v>4</v>
      </c>
      <c r="K31" s="346">
        <v>5</v>
      </c>
      <c r="L31" s="346">
        <v>5</v>
      </c>
      <c r="M31" s="346">
        <v>5</v>
      </c>
      <c r="N31" s="346">
        <v>4</v>
      </c>
      <c r="O31" s="346">
        <v>4</v>
      </c>
      <c r="P31" s="346">
        <v>5</v>
      </c>
      <c r="Q31" s="346">
        <v>4</v>
      </c>
      <c r="R31" s="63">
        <f t="shared" si="7"/>
        <v>4.45</v>
      </c>
      <c r="S31" s="88">
        <f t="shared" si="2"/>
        <v>0.89</v>
      </c>
      <c r="T31" s="65" t="str">
        <f t="shared" si="8"/>
        <v>Grade-B</v>
      </c>
      <c r="U31" s="123">
        <f>IFERROR(VLOOKUP(G31,Database!F:G,2,0),0)</f>
        <v>1300</v>
      </c>
      <c r="V31" s="66">
        <v>1</v>
      </c>
      <c r="W31" s="84">
        <f t="shared" si="9"/>
        <v>0.96494559999999996</v>
      </c>
      <c r="X31" s="67">
        <f t="shared" si="4"/>
        <v>1120</v>
      </c>
      <c r="Y31" s="66">
        <v>1</v>
      </c>
      <c r="Z31" s="84">
        <f t="shared" si="10"/>
        <v>0.96494559999999996</v>
      </c>
      <c r="AA31" s="67">
        <f t="shared" si="5"/>
        <v>1120</v>
      </c>
      <c r="AB31" s="66">
        <v>0.1</v>
      </c>
      <c r="AC31" s="84">
        <f t="shared" si="11"/>
        <v>0.96494559999999996</v>
      </c>
      <c r="AD31" s="67">
        <f t="shared" si="6"/>
        <v>120</v>
      </c>
      <c r="AE31" s="66">
        <v>1</v>
      </c>
      <c r="AF31" s="84">
        <f t="shared" si="12"/>
        <v>0.72181018113207551</v>
      </c>
      <c r="AG31" s="228">
        <f t="shared" si="13"/>
        <v>840</v>
      </c>
    </row>
    <row r="32" spans="1:35" s="8" customFormat="1">
      <c r="A32" s="60">
        <f t="shared" si="0"/>
        <v>25</v>
      </c>
      <c r="B32" s="61">
        <v>8233</v>
      </c>
      <c r="C32" s="62" t="s">
        <v>355</v>
      </c>
      <c r="D32" s="62" t="s">
        <v>259</v>
      </c>
      <c r="E32" s="62"/>
      <c r="F32" s="62" t="s">
        <v>397</v>
      </c>
      <c r="G32" s="36" t="s">
        <v>397</v>
      </c>
      <c r="H32" s="62"/>
      <c r="I32" s="62" t="s">
        <v>360</v>
      </c>
      <c r="J32" s="346">
        <v>5</v>
      </c>
      <c r="K32" s="346">
        <v>4</v>
      </c>
      <c r="L32" s="346">
        <v>4</v>
      </c>
      <c r="M32" s="346">
        <v>4</v>
      </c>
      <c r="N32" s="346">
        <v>5</v>
      </c>
      <c r="O32" s="346">
        <v>4</v>
      </c>
      <c r="P32" s="346">
        <v>4</v>
      </c>
      <c r="Q32" s="346">
        <v>4</v>
      </c>
      <c r="R32" s="63">
        <f t="shared" si="7"/>
        <v>4.3999999999999995</v>
      </c>
      <c r="S32" s="88">
        <f t="shared" si="2"/>
        <v>0.87999999999999989</v>
      </c>
      <c r="T32" s="65" t="str">
        <f t="shared" si="8"/>
        <v>Grade-B</v>
      </c>
      <c r="U32" s="123">
        <f>IFERROR(VLOOKUP(G32,Database!F:G,2,0),0)</f>
        <v>700</v>
      </c>
      <c r="V32" s="66">
        <v>1</v>
      </c>
      <c r="W32" s="84">
        <f t="shared" si="9"/>
        <v>0.96494559999999996</v>
      </c>
      <c r="X32" s="67">
        <f t="shared" si="4"/>
        <v>600</v>
      </c>
      <c r="Y32" s="66">
        <v>1</v>
      </c>
      <c r="Z32" s="84">
        <f t="shared" si="10"/>
        <v>0.96494559999999996</v>
      </c>
      <c r="AA32" s="67">
        <f t="shared" si="5"/>
        <v>600</v>
      </c>
      <c r="AB32" s="66">
        <v>1</v>
      </c>
      <c r="AC32" s="84">
        <f t="shared" si="11"/>
        <v>0.96494559999999996</v>
      </c>
      <c r="AD32" s="67">
        <f t="shared" si="6"/>
        <v>600</v>
      </c>
      <c r="AE32" s="66">
        <v>1</v>
      </c>
      <c r="AF32" s="84">
        <f t="shared" si="12"/>
        <v>0.72181018113207551</v>
      </c>
      <c r="AG32" s="228">
        <f t="shared" si="13"/>
        <v>450</v>
      </c>
    </row>
    <row r="33" spans="1:35">
      <c r="A33" s="60">
        <f t="shared" si="0"/>
        <v>26</v>
      </c>
      <c r="B33" s="69">
        <v>19851</v>
      </c>
      <c r="C33" s="70" t="s">
        <v>290</v>
      </c>
      <c r="D33" s="70" t="s">
        <v>186</v>
      </c>
      <c r="E33" s="70"/>
      <c r="F33" s="70" t="s">
        <v>365</v>
      </c>
      <c r="G33" s="83" t="s">
        <v>365</v>
      </c>
      <c r="H33" s="70"/>
      <c r="I33" s="62" t="s">
        <v>360</v>
      </c>
      <c r="J33" s="347">
        <v>4</v>
      </c>
      <c r="K33" s="347">
        <v>5</v>
      </c>
      <c r="L33" s="347">
        <v>5</v>
      </c>
      <c r="M33" s="347">
        <v>4</v>
      </c>
      <c r="N33" s="347">
        <v>4</v>
      </c>
      <c r="O33" s="347">
        <v>5</v>
      </c>
      <c r="P33" s="347">
        <v>5</v>
      </c>
      <c r="Q33" s="347">
        <v>4</v>
      </c>
      <c r="R33" s="63">
        <f t="shared" si="7"/>
        <v>4.45</v>
      </c>
      <c r="S33" s="73">
        <f t="shared" si="2"/>
        <v>0.89</v>
      </c>
      <c r="T33" s="65" t="str">
        <f t="shared" si="8"/>
        <v>Grade-B</v>
      </c>
      <c r="U33" s="107">
        <f>IFERROR(VLOOKUP(G33,Database!F:G,2,0),0)</f>
        <v>1700</v>
      </c>
      <c r="V33" s="90">
        <v>0.09</v>
      </c>
      <c r="W33" s="91">
        <f t="shared" si="9"/>
        <v>0.96494559999999996</v>
      </c>
      <c r="X33" s="76">
        <f t="shared" si="4"/>
        <v>140</v>
      </c>
      <c r="Y33" s="90">
        <v>0</v>
      </c>
      <c r="Z33" s="91">
        <f t="shared" si="10"/>
        <v>0.96494559999999996</v>
      </c>
      <c r="AA33" s="76">
        <f t="shared" si="5"/>
        <v>0</v>
      </c>
      <c r="AB33" s="90">
        <v>1</v>
      </c>
      <c r="AC33" s="91">
        <f t="shared" si="11"/>
        <v>0.96494559999999996</v>
      </c>
      <c r="AD33" s="76">
        <f t="shared" si="6"/>
        <v>1460</v>
      </c>
      <c r="AE33" s="90">
        <v>1.3</v>
      </c>
      <c r="AF33" s="91">
        <f t="shared" si="12"/>
        <v>0.72181018113207551</v>
      </c>
      <c r="AG33" s="229">
        <f t="shared" si="13"/>
        <v>1420</v>
      </c>
    </row>
    <row r="34" spans="1:35" s="41" customFormat="1" ht="14.25" customHeight="1">
      <c r="A34" s="60">
        <f t="shared" si="0"/>
        <v>27</v>
      </c>
      <c r="B34" s="69">
        <v>17880</v>
      </c>
      <c r="C34" s="70" t="s">
        <v>291</v>
      </c>
      <c r="D34" s="70" t="s">
        <v>32</v>
      </c>
      <c r="E34" s="70"/>
      <c r="F34" s="70" t="s">
        <v>370</v>
      </c>
      <c r="G34" s="83" t="s">
        <v>397</v>
      </c>
      <c r="H34" s="70"/>
      <c r="I34" s="62" t="s">
        <v>360</v>
      </c>
      <c r="J34" s="347">
        <v>4</v>
      </c>
      <c r="K34" s="347">
        <v>5</v>
      </c>
      <c r="L34" s="347">
        <v>4</v>
      </c>
      <c r="M34" s="347">
        <v>5</v>
      </c>
      <c r="N34" s="347">
        <v>4</v>
      </c>
      <c r="O34" s="347">
        <v>5</v>
      </c>
      <c r="P34" s="347">
        <v>4</v>
      </c>
      <c r="Q34" s="347">
        <v>4</v>
      </c>
      <c r="R34" s="63">
        <f t="shared" si="7"/>
        <v>4.4000000000000004</v>
      </c>
      <c r="S34" s="73">
        <f t="shared" si="2"/>
        <v>0.88</v>
      </c>
      <c r="T34" s="65" t="str">
        <f t="shared" si="8"/>
        <v>Grade-B</v>
      </c>
      <c r="U34" s="107">
        <f>IFERROR(VLOOKUP(G34,Database!F:G,2,0),0)</f>
        <v>700</v>
      </c>
      <c r="V34" s="66">
        <v>1</v>
      </c>
      <c r="W34" s="91">
        <f t="shared" si="9"/>
        <v>0.96494559999999996</v>
      </c>
      <c r="X34" s="76">
        <f t="shared" si="4"/>
        <v>600</v>
      </c>
      <c r="Y34" s="66">
        <v>1</v>
      </c>
      <c r="Z34" s="91">
        <f t="shared" si="10"/>
        <v>0.96494559999999996</v>
      </c>
      <c r="AA34" s="76">
        <f t="shared" si="5"/>
        <v>600</v>
      </c>
      <c r="AB34" s="66">
        <v>1</v>
      </c>
      <c r="AC34" s="91">
        <f t="shared" si="11"/>
        <v>0.96494559999999996</v>
      </c>
      <c r="AD34" s="76">
        <f t="shared" si="6"/>
        <v>600</v>
      </c>
      <c r="AE34" s="66">
        <v>1</v>
      </c>
      <c r="AF34" s="91">
        <f t="shared" si="12"/>
        <v>0.72181018113207551</v>
      </c>
      <c r="AG34" s="229">
        <f>CEILING($S34*$U34*AE34*AF34,10)</f>
        <v>450</v>
      </c>
    </row>
    <row r="35" spans="1:35" s="41" customFormat="1">
      <c r="A35" s="60">
        <f t="shared" si="0"/>
        <v>28</v>
      </c>
      <c r="B35" s="69">
        <v>18459</v>
      </c>
      <c r="C35" s="70" t="s">
        <v>292</v>
      </c>
      <c r="D35" s="70" t="s">
        <v>186</v>
      </c>
      <c r="E35" s="70"/>
      <c r="F35" s="70" t="s">
        <v>396</v>
      </c>
      <c r="G35" s="83" t="s">
        <v>396</v>
      </c>
      <c r="H35" s="70"/>
      <c r="I35" s="62" t="s">
        <v>360</v>
      </c>
      <c r="J35" s="347">
        <v>5</v>
      </c>
      <c r="K35" s="347">
        <v>5</v>
      </c>
      <c r="L35" s="347">
        <v>4</v>
      </c>
      <c r="M35" s="347">
        <v>4</v>
      </c>
      <c r="N35" s="347">
        <v>5</v>
      </c>
      <c r="O35" s="347">
        <v>4</v>
      </c>
      <c r="P35" s="347">
        <v>5</v>
      </c>
      <c r="Q35" s="347">
        <v>5</v>
      </c>
      <c r="R35" s="63">
        <f t="shared" si="7"/>
        <v>4.7</v>
      </c>
      <c r="S35" s="73">
        <f t="shared" si="2"/>
        <v>0.94</v>
      </c>
      <c r="T35" s="65" t="str">
        <f t="shared" si="8"/>
        <v>Grade-A</v>
      </c>
      <c r="U35" s="107">
        <f>IFERROR(VLOOKUP(G35,Database!F:G,2,0),0)</f>
        <v>2000</v>
      </c>
      <c r="V35" s="66">
        <v>1</v>
      </c>
      <c r="W35" s="91">
        <f t="shared" si="9"/>
        <v>0.96494559999999996</v>
      </c>
      <c r="X35" s="76">
        <f t="shared" si="4"/>
        <v>1820</v>
      </c>
      <c r="Y35" s="66">
        <v>1</v>
      </c>
      <c r="Z35" s="91">
        <f t="shared" si="10"/>
        <v>0.96494559999999996</v>
      </c>
      <c r="AA35" s="76">
        <f t="shared" si="5"/>
        <v>1820</v>
      </c>
      <c r="AB35" s="66">
        <v>1</v>
      </c>
      <c r="AC35" s="91">
        <f t="shared" si="11"/>
        <v>0.96494559999999996</v>
      </c>
      <c r="AD35" s="76">
        <f t="shared" si="6"/>
        <v>1820</v>
      </c>
      <c r="AE35" s="66">
        <v>1.3</v>
      </c>
      <c r="AF35" s="91">
        <f t="shared" si="12"/>
        <v>0.72181018113207551</v>
      </c>
      <c r="AG35" s="229">
        <f t="shared" si="13"/>
        <v>1770</v>
      </c>
    </row>
    <row r="36" spans="1:35" s="8" customFormat="1">
      <c r="A36" s="60">
        <f t="shared" si="0"/>
        <v>29</v>
      </c>
      <c r="B36" s="61">
        <v>21919</v>
      </c>
      <c r="C36" s="62" t="s">
        <v>584</v>
      </c>
      <c r="D36" s="62" t="s">
        <v>32</v>
      </c>
      <c r="E36" s="62"/>
      <c r="F36" s="62" t="s">
        <v>370</v>
      </c>
      <c r="G36" s="36" t="s">
        <v>370</v>
      </c>
      <c r="H36" s="62"/>
      <c r="I36" s="62" t="s">
        <v>766</v>
      </c>
      <c r="J36" s="346">
        <v>5</v>
      </c>
      <c r="K36" s="346">
        <v>5</v>
      </c>
      <c r="L36" s="346">
        <v>3</v>
      </c>
      <c r="M36" s="346">
        <v>5</v>
      </c>
      <c r="N36" s="346">
        <v>4</v>
      </c>
      <c r="O36" s="346">
        <v>3</v>
      </c>
      <c r="P36" s="346">
        <v>3</v>
      </c>
      <c r="Q36" s="346">
        <v>4</v>
      </c>
      <c r="R36" s="63">
        <f t="shared" si="7"/>
        <v>4.3500000000000005</v>
      </c>
      <c r="S36" s="64">
        <f t="shared" si="2"/>
        <v>0.87000000000000011</v>
      </c>
      <c r="T36" s="65" t="str">
        <f t="shared" si="8"/>
        <v>Grade-B</v>
      </c>
      <c r="U36" s="123">
        <f>IFERROR(VLOOKUP(G36,Database!F:G,2,0),0)</f>
        <v>600</v>
      </c>
      <c r="V36" s="66">
        <v>1</v>
      </c>
      <c r="W36" s="84">
        <f t="shared" si="9"/>
        <v>0.96494559999999996</v>
      </c>
      <c r="X36" s="67">
        <f t="shared" si="4"/>
        <v>510</v>
      </c>
      <c r="Y36" s="66">
        <v>1</v>
      </c>
      <c r="Z36" s="84">
        <f t="shared" si="10"/>
        <v>0.96494559999999996</v>
      </c>
      <c r="AA36" s="67">
        <f t="shared" si="5"/>
        <v>510</v>
      </c>
      <c r="AB36" s="66">
        <v>1</v>
      </c>
      <c r="AC36" s="84">
        <f t="shared" si="11"/>
        <v>0.96494559999999996</v>
      </c>
      <c r="AD36" s="67">
        <f t="shared" si="6"/>
        <v>510</v>
      </c>
      <c r="AE36" s="66">
        <v>0.1</v>
      </c>
      <c r="AF36" s="84">
        <f>$AG$6/$AF$6</f>
        <v>0.72181018113207551</v>
      </c>
      <c r="AG36" s="228">
        <f>CEILING($S36*$U36*AE36*AF36,10)</f>
        <v>40</v>
      </c>
    </row>
    <row r="37" spans="1:35" s="8" customFormat="1">
      <c r="A37" s="60">
        <f t="shared" si="0"/>
        <v>30</v>
      </c>
      <c r="B37" s="61">
        <v>15681</v>
      </c>
      <c r="C37" s="62" t="s">
        <v>357</v>
      </c>
      <c r="D37" s="62" t="s">
        <v>32</v>
      </c>
      <c r="E37" s="62"/>
      <c r="F37" s="62" t="s">
        <v>370</v>
      </c>
      <c r="G37" s="36" t="s">
        <v>370</v>
      </c>
      <c r="H37" s="62"/>
      <c r="I37" s="62" t="s">
        <v>360</v>
      </c>
      <c r="J37" s="346">
        <v>5</v>
      </c>
      <c r="K37" s="346">
        <v>4</v>
      </c>
      <c r="L37" s="346">
        <v>4</v>
      </c>
      <c r="M37" s="346">
        <v>4</v>
      </c>
      <c r="N37" s="346">
        <v>4</v>
      </c>
      <c r="O37" s="346">
        <v>4</v>
      </c>
      <c r="P37" s="346">
        <v>4</v>
      </c>
      <c r="Q37" s="346">
        <v>4</v>
      </c>
      <c r="R37" s="63">
        <f t="shared" si="7"/>
        <v>4.3</v>
      </c>
      <c r="S37" s="64">
        <f t="shared" si="2"/>
        <v>0.85999999999999988</v>
      </c>
      <c r="T37" s="65" t="str">
        <f t="shared" si="8"/>
        <v>Grade-B</v>
      </c>
      <c r="U37" s="123">
        <f>IFERROR(VLOOKUP(G37,Database!F:G,2,0),0)</f>
        <v>600</v>
      </c>
      <c r="V37" s="66">
        <v>0.4</v>
      </c>
      <c r="W37" s="84">
        <f t="shared" si="9"/>
        <v>0.96494559999999996</v>
      </c>
      <c r="X37" s="67">
        <f t="shared" si="4"/>
        <v>200</v>
      </c>
      <c r="Y37" s="66">
        <v>1</v>
      </c>
      <c r="Z37" s="84">
        <f t="shared" si="10"/>
        <v>0.96494559999999996</v>
      </c>
      <c r="AA37" s="67">
        <f t="shared" si="5"/>
        <v>500</v>
      </c>
      <c r="AB37" s="66">
        <v>1</v>
      </c>
      <c r="AC37" s="84">
        <f t="shared" si="11"/>
        <v>0.96494559999999996</v>
      </c>
      <c r="AD37" s="67">
        <f t="shared" si="6"/>
        <v>500</v>
      </c>
      <c r="AE37" s="66">
        <v>1</v>
      </c>
      <c r="AF37" s="84">
        <f t="shared" si="12"/>
        <v>0.72181018113207551</v>
      </c>
      <c r="AG37" s="228">
        <f t="shared" si="13"/>
        <v>380</v>
      </c>
    </row>
    <row r="38" spans="1:35" s="8" customFormat="1">
      <c r="A38" s="60">
        <f t="shared" si="0"/>
        <v>31</v>
      </c>
      <c r="B38" s="61">
        <v>21675</v>
      </c>
      <c r="C38" s="62" t="s">
        <v>295</v>
      </c>
      <c r="D38" s="62" t="s">
        <v>296</v>
      </c>
      <c r="E38" s="62"/>
      <c r="F38" s="62" t="s">
        <v>366</v>
      </c>
      <c r="G38" s="36" t="s">
        <v>366</v>
      </c>
      <c r="H38" s="62"/>
      <c r="I38" s="62" t="s">
        <v>360</v>
      </c>
      <c r="J38" s="346">
        <v>5</v>
      </c>
      <c r="K38" s="346">
        <v>4</v>
      </c>
      <c r="L38" s="346">
        <v>4</v>
      </c>
      <c r="M38" s="346">
        <v>5</v>
      </c>
      <c r="N38" s="346">
        <v>4</v>
      </c>
      <c r="O38" s="346">
        <v>4</v>
      </c>
      <c r="P38" s="346">
        <v>4</v>
      </c>
      <c r="Q38" s="346">
        <v>4</v>
      </c>
      <c r="R38" s="63">
        <f t="shared" si="7"/>
        <v>4.3999999999999995</v>
      </c>
      <c r="S38" s="64">
        <f t="shared" si="2"/>
        <v>0.87999999999999989</v>
      </c>
      <c r="T38" s="65" t="str">
        <f t="shared" si="8"/>
        <v>Grade-B</v>
      </c>
      <c r="U38" s="123">
        <f>IFERROR(VLOOKUP(G38,Database!F:G,2,0),0)</f>
        <v>1300</v>
      </c>
      <c r="V38" s="66">
        <v>0.97</v>
      </c>
      <c r="W38" s="84">
        <f t="shared" si="9"/>
        <v>0.96494559999999996</v>
      </c>
      <c r="X38" s="67">
        <f t="shared" si="4"/>
        <v>1080</v>
      </c>
      <c r="Y38" s="66">
        <v>1</v>
      </c>
      <c r="Z38" s="84">
        <f t="shared" si="10"/>
        <v>0.96494559999999996</v>
      </c>
      <c r="AA38" s="67">
        <f t="shared" si="5"/>
        <v>1110</v>
      </c>
      <c r="AB38" s="66">
        <v>1</v>
      </c>
      <c r="AC38" s="84">
        <f t="shared" si="11"/>
        <v>0.96494559999999996</v>
      </c>
      <c r="AD38" s="67">
        <f t="shared" si="6"/>
        <v>1110</v>
      </c>
      <c r="AE38" s="66">
        <v>1</v>
      </c>
      <c r="AF38" s="84">
        <f t="shared" si="12"/>
        <v>0.72181018113207551</v>
      </c>
      <c r="AG38" s="228">
        <f t="shared" si="13"/>
        <v>830</v>
      </c>
    </row>
    <row r="39" spans="1:35" s="8" customFormat="1">
      <c r="A39" s="60">
        <f t="shared" si="0"/>
        <v>32</v>
      </c>
      <c r="B39" s="61">
        <v>23076</v>
      </c>
      <c r="C39" s="62" t="s">
        <v>586</v>
      </c>
      <c r="D39" s="62" t="s">
        <v>297</v>
      </c>
      <c r="E39" s="62"/>
      <c r="F39" s="62" t="s">
        <v>403</v>
      </c>
      <c r="G39" s="36" t="s">
        <v>403</v>
      </c>
      <c r="H39" s="62"/>
      <c r="I39" s="62" t="s">
        <v>360</v>
      </c>
      <c r="J39" s="346">
        <v>5</v>
      </c>
      <c r="K39" s="346">
        <v>4</v>
      </c>
      <c r="L39" s="346">
        <v>4</v>
      </c>
      <c r="M39" s="346">
        <v>5</v>
      </c>
      <c r="N39" s="346">
        <v>4</v>
      </c>
      <c r="O39" s="346">
        <v>5</v>
      </c>
      <c r="P39" s="346">
        <v>4</v>
      </c>
      <c r="Q39" s="346">
        <v>4</v>
      </c>
      <c r="R39" s="63">
        <f t="shared" si="7"/>
        <v>4.5</v>
      </c>
      <c r="S39" s="64">
        <f t="shared" si="2"/>
        <v>0.89999999999999991</v>
      </c>
      <c r="T39" s="65" t="str">
        <f t="shared" si="8"/>
        <v>Grade-A</v>
      </c>
      <c r="U39" s="123">
        <f>IFERROR(VLOOKUP(G39,Database!F:G,2,0),0)</f>
        <v>1200</v>
      </c>
      <c r="V39" s="66">
        <v>1</v>
      </c>
      <c r="W39" s="84">
        <f t="shared" si="9"/>
        <v>0.96494559999999996</v>
      </c>
      <c r="X39" s="67">
        <f t="shared" si="4"/>
        <v>1050</v>
      </c>
      <c r="Y39" s="66">
        <v>1</v>
      </c>
      <c r="Z39" s="84">
        <f t="shared" si="10"/>
        <v>0.96494559999999996</v>
      </c>
      <c r="AA39" s="67">
        <f t="shared" si="5"/>
        <v>1050</v>
      </c>
      <c r="AB39" s="66">
        <v>1</v>
      </c>
      <c r="AC39" s="84">
        <f t="shared" si="11"/>
        <v>0.96494559999999996</v>
      </c>
      <c r="AD39" s="67">
        <f t="shared" si="6"/>
        <v>1050</v>
      </c>
      <c r="AE39" s="66">
        <v>1</v>
      </c>
      <c r="AF39" s="84">
        <f t="shared" si="12"/>
        <v>0.72181018113207551</v>
      </c>
      <c r="AG39" s="228">
        <f t="shared" si="13"/>
        <v>780</v>
      </c>
    </row>
    <row r="40" spans="1:35" s="8" customFormat="1" ht="13.5" customHeight="1">
      <c r="A40" s="60">
        <f t="shared" si="0"/>
        <v>33</v>
      </c>
      <c r="B40" s="61">
        <v>15749</v>
      </c>
      <c r="C40" s="62" t="s">
        <v>605</v>
      </c>
      <c r="D40" s="62" t="s">
        <v>32</v>
      </c>
      <c r="E40" s="62"/>
      <c r="F40" s="62" t="s">
        <v>370</v>
      </c>
      <c r="G40" s="36" t="s">
        <v>370</v>
      </c>
      <c r="H40" s="62"/>
      <c r="I40" s="62" t="s">
        <v>360</v>
      </c>
      <c r="J40" s="346">
        <v>5</v>
      </c>
      <c r="K40" s="346">
        <v>4</v>
      </c>
      <c r="L40" s="346">
        <v>5</v>
      </c>
      <c r="M40" s="346">
        <v>5</v>
      </c>
      <c r="N40" s="346">
        <v>4</v>
      </c>
      <c r="O40" s="346">
        <v>4</v>
      </c>
      <c r="P40" s="346">
        <v>4</v>
      </c>
      <c r="Q40" s="346">
        <v>3</v>
      </c>
      <c r="R40" s="63">
        <f t="shared" si="7"/>
        <v>4.45</v>
      </c>
      <c r="S40" s="64">
        <f t="shared" si="2"/>
        <v>0.8899999999999999</v>
      </c>
      <c r="T40" s="65" t="str">
        <f t="shared" si="8"/>
        <v>Grade-B</v>
      </c>
      <c r="U40" s="123">
        <f>IFERROR(VLOOKUP(G40,Database!F:G,2,0),0)</f>
        <v>600</v>
      </c>
      <c r="V40" s="66">
        <v>0.97</v>
      </c>
      <c r="W40" s="84">
        <f t="shared" si="9"/>
        <v>0.96494559999999996</v>
      </c>
      <c r="X40" s="67">
        <f t="shared" si="4"/>
        <v>500</v>
      </c>
      <c r="Y40" s="66">
        <v>1</v>
      </c>
      <c r="Z40" s="84">
        <f t="shared" si="10"/>
        <v>0.96494559999999996</v>
      </c>
      <c r="AA40" s="67">
        <f t="shared" si="5"/>
        <v>520</v>
      </c>
      <c r="AB40" s="66">
        <v>1</v>
      </c>
      <c r="AC40" s="84">
        <f t="shared" si="11"/>
        <v>0.96494559999999996</v>
      </c>
      <c r="AD40" s="67">
        <f t="shared" si="6"/>
        <v>520</v>
      </c>
      <c r="AE40" s="66">
        <v>1</v>
      </c>
      <c r="AF40" s="84">
        <f t="shared" si="12"/>
        <v>0.72181018113207551</v>
      </c>
      <c r="AG40" s="228">
        <f t="shared" si="13"/>
        <v>390</v>
      </c>
    </row>
    <row r="41" spans="1:35" s="8" customFormat="1">
      <c r="A41" s="60">
        <f t="shared" si="0"/>
        <v>34</v>
      </c>
      <c r="B41" s="61">
        <v>1837</v>
      </c>
      <c r="C41" s="62" t="s">
        <v>610</v>
      </c>
      <c r="D41" s="62" t="s">
        <v>429</v>
      </c>
      <c r="E41" s="62"/>
      <c r="F41" s="62"/>
      <c r="G41" s="36" t="s">
        <v>386</v>
      </c>
      <c r="H41" s="62"/>
      <c r="I41" s="62" t="s">
        <v>360</v>
      </c>
      <c r="J41" s="346">
        <v>4</v>
      </c>
      <c r="K41" s="346">
        <v>5</v>
      </c>
      <c r="L41" s="346">
        <v>4</v>
      </c>
      <c r="M41" s="346">
        <v>5</v>
      </c>
      <c r="N41" s="346">
        <v>4</v>
      </c>
      <c r="O41" s="346">
        <v>5</v>
      </c>
      <c r="P41" s="346">
        <v>5</v>
      </c>
      <c r="Q41" s="346">
        <v>3</v>
      </c>
      <c r="R41" s="63">
        <f t="shared" si="7"/>
        <v>4.4000000000000004</v>
      </c>
      <c r="S41" s="64">
        <f t="shared" si="2"/>
        <v>0.88</v>
      </c>
      <c r="T41" s="65" t="str">
        <f t="shared" si="8"/>
        <v>Grade-B</v>
      </c>
      <c r="U41" s="123">
        <f>IFERROR(VLOOKUP(G41,Database!F:G,2,0),0)</f>
        <v>900</v>
      </c>
      <c r="V41" s="66">
        <v>1</v>
      </c>
      <c r="W41" s="84">
        <f t="shared" si="9"/>
        <v>0.96494559999999996</v>
      </c>
      <c r="X41" s="67">
        <f t="shared" si="4"/>
        <v>770</v>
      </c>
      <c r="Y41" s="66">
        <v>1</v>
      </c>
      <c r="Z41" s="84">
        <f t="shared" si="10"/>
        <v>0.96494559999999996</v>
      </c>
      <c r="AA41" s="67">
        <f t="shared" si="5"/>
        <v>770</v>
      </c>
      <c r="AB41" s="66">
        <v>1</v>
      </c>
      <c r="AC41" s="84">
        <f t="shared" si="11"/>
        <v>0.96494559999999996</v>
      </c>
      <c r="AD41" s="67">
        <f t="shared" si="6"/>
        <v>770</v>
      </c>
      <c r="AE41" s="66">
        <v>1</v>
      </c>
      <c r="AF41" s="84">
        <f t="shared" si="12"/>
        <v>0.72181018113207551</v>
      </c>
      <c r="AG41" s="228">
        <f t="shared" si="13"/>
        <v>580</v>
      </c>
      <c r="AH41" s="16"/>
      <c r="AI41" s="16"/>
    </row>
    <row r="42" spans="1:35">
      <c r="A42" s="60">
        <f t="shared" si="0"/>
        <v>35</v>
      </c>
      <c r="B42" s="61">
        <v>19822</v>
      </c>
      <c r="C42" s="62" t="s">
        <v>480</v>
      </c>
      <c r="D42" s="62" t="s">
        <v>65</v>
      </c>
      <c r="E42" s="62" t="s">
        <v>314</v>
      </c>
      <c r="F42" s="62" t="s">
        <v>372</v>
      </c>
      <c r="G42" s="36" t="s">
        <v>372</v>
      </c>
      <c r="H42" s="62"/>
      <c r="I42" s="62" t="s">
        <v>360</v>
      </c>
      <c r="J42" s="346">
        <v>4</v>
      </c>
      <c r="K42" s="346">
        <v>4</v>
      </c>
      <c r="L42" s="346">
        <v>5</v>
      </c>
      <c r="M42" s="346">
        <v>4</v>
      </c>
      <c r="N42" s="346">
        <v>5</v>
      </c>
      <c r="O42" s="346">
        <v>4</v>
      </c>
      <c r="P42" s="346">
        <v>5</v>
      </c>
      <c r="Q42" s="346">
        <v>5</v>
      </c>
      <c r="R42" s="63">
        <f t="shared" si="7"/>
        <v>4.3</v>
      </c>
      <c r="S42" s="88">
        <f t="shared" si="2"/>
        <v>0.86</v>
      </c>
      <c r="T42" s="65" t="str">
        <f t="shared" si="8"/>
        <v>Grade-B</v>
      </c>
      <c r="U42" s="107">
        <f>IFERROR(VLOOKUP(G42,Database!F:G,2,0),0)</f>
        <v>800</v>
      </c>
      <c r="V42" s="66">
        <v>1</v>
      </c>
      <c r="W42" s="84">
        <f t="shared" si="9"/>
        <v>0.96494559999999996</v>
      </c>
      <c r="X42" s="67">
        <f t="shared" ref="X42:X45" si="14">CEILING($S42*$U42*V42*W42,10)</f>
        <v>670</v>
      </c>
      <c r="Y42" s="66">
        <v>1</v>
      </c>
      <c r="Z42" s="84">
        <f t="shared" si="10"/>
        <v>0.96494559999999996</v>
      </c>
      <c r="AA42" s="67">
        <f t="shared" si="5"/>
        <v>670</v>
      </c>
      <c r="AB42" s="66">
        <v>1</v>
      </c>
      <c r="AC42" s="84">
        <f t="shared" si="11"/>
        <v>0.96494559999999996</v>
      </c>
      <c r="AD42" s="67">
        <f t="shared" si="6"/>
        <v>670</v>
      </c>
      <c r="AE42" s="66">
        <v>1</v>
      </c>
      <c r="AF42" s="84">
        <f t="shared" si="12"/>
        <v>0.72181018113207551</v>
      </c>
      <c r="AG42" s="228">
        <f t="shared" si="13"/>
        <v>500</v>
      </c>
    </row>
    <row r="43" spans="1:35">
      <c r="A43" s="60">
        <f t="shared" si="0"/>
        <v>36</v>
      </c>
      <c r="B43" s="61">
        <v>11151</v>
      </c>
      <c r="C43" s="62" t="s">
        <v>672</v>
      </c>
      <c r="D43" s="62" t="s">
        <v>187</v>
      </c>
      <c r="E43" s="62" t="s">
        <v>396</v>
      </c>
      <c r="F43" s="36" t="s">
        <v>396</v>
      </c>
      <c r="G43" s="83" t="s">
        <v>365</v>
      </c>
      <c r="H43" s="62"/>
      <c r="I43" s="62" t="s">
        <v>360</v>
      </c>
      <c r="J43" s="346">
        <v>5</v>
      </c>
      <c r="K43" s="346">
        <v>4</v>
      </c>
      <c r="L43" s="346">
        <v>4</v>
      </c>
      <c r="M43" s="346">
        <v>4</v>
      </c>
      <c r="N43" s="346">
        <v>5</v>
      </c>
      <c r="O43" s="346">
        <v>5</v>
      </c>
      <c r="P43" s="346">
        <v>5</v>
      </c>
      <c r="Q43" s="346">
        <v>4</v>
      </c>
      <c r="R43" s="63">
        <f t="shared" si="7"/>
        <v>4.55</v>
      </c>
      <c r="S43" s="64">
        <f t="shared" si="2"/>
        <v>0.90999999999999992</v>
      </c>
      <c r="T43" s="65" t="str">
        <f t="shared" si="8"/>
        <v>Grade-A</v>
      </c>
      <c r="U43" s="123">
        <f>IFERROR(VLOOKUP(G43,Database!F:G,2,0),0)</f>
        <v>1700</v>
      </c>
      <c r="V43" s="66">
        <v>1</v>
      </c>
      <c r="W43" s="84">
        <f t="shared" si="9"/>
        <v>0.96494559999999996</v>
      </c>
      <c r="X43" s="67">
        <f t="shared" si="14"/>
        <v>1500</v>
      </c>
      <c r="Y43" s="66">
        <v>1</v>
      </c>
      <c r="Z43" s="84">
        <f t="shared" si="10"/>
        <v>0.96494559999999996</v>
      </c>
      <c r="AA43" s="67">
        <f t="shared" si="5"/>
        <v>1500</v>
      </c>
      <c r="AB43" s="66">
        <v>1</v>
      </c>
      <c r="AC43" s="84">
        <f t="shared" si="11"/>
        <v>0.96494559999999996</v>
      </c>
      <c r="AD43" s="67">
        <f t="shared" si="6"/>
        <v>1500</v>
      </c>
      <c r="AE43" s="66">
        <v>1</v>
      </c>
      <c r="AF43" s="84">
        <f t="shared" si="12"/>
        <v>0.72181018113207551</v>
      </c>
      <c r="AG43" s="228">
        <f t="shared" si="13"/>
        <v>1120</v>
      </c>
    </row>
    <row r="44" spans="1:35">
      <c r="A44" s="60">
        <f t="shared" si="0"/>
        <v>37</v>
      </c>
      <c r="B44" s="61">
        <v>20724</v>
      </c>
      <c r="C44" s="62" t="s">
        <v>695</v>
      </c>
      <c r="D44" s="62"/>
      <c r="E44" s="62"/>
      <c r="F44" s="62"/>
      <c r="G44" s="36" t="s">
        <v>406</v>
      </c>
      <c r="H44" s="62"/>
      <c r="I44" s="62" t="s">
        <v>360</v>
      </c>
      <c r="J44" s="346">
        <v>4</v>
      </c>
      <c r="K44" s="346">
        <v>4</v>
      </c>
      <c r="L44" s="346">
        <v>5</v>
      </c>
      <c r="M44" s="346">
        <v>5</v>
      </c>
      <c r="N44" s="346">
        <v>5</v>
      </c>
      <c r="O44" s="346">
        <v>5</v>
      </c>
      <c r="P44" s="346">
        <v>4</v>
      </c>
      <c r="Q44" s="346">
        <v>5</v>
      </c>
      <c r="R44" s="63">
        <f t="shared" si="7"/>
        <v>4.45</v>
      </c>
      <c r="S44" s="88">
        <f t="shared" si="2"/>
        <v>0.89</v>
      </c>
      <c r="T44" s="65" t="str">
        <f t="shared" si="8"/>
        <v>Grade-B</v>
      </c>
      <c r="U44" s="107">
        <f>IFERROR(VLOOKUP(G44,Database!F:G,2,0),0)</f>
        <v>1200</v>
      </c>
      <c r="V44" s="66">
        <v>1</v>
      </c>
      <c r="W44" s="84">
        <f t="shared" si="9"/>
        <v>0.96494559999999996</v>
      </c>
      <c r="X44" s="67">
        <f t="shared" si="14"/>
        <v>1040</v>
      </c>
      <c r="Y44" s="66">
        <v>1</v>
      </c>
      <c r="Z44" s="84">
        <f t="shared" si="10"/>
        <v>0.96494559999999996</v>
      </c>
      <c r="AA44" s="67">
        <f t="shared" si="5"/>
        <v>1040</v>
      </c>
      <c r="AB44" s="66">
        <v>1</v>
      </c>
      <c r="AC44" s="84">
        <f t="shared" si="11"/>
        <v>0.96494559999999996</v>
      </c>
      <c r="AD44" s="67">
        <f t="shared" si="6"/>
        <v>1040</v>
      </c>
      <c r="AE44" s="66">
        <v>1</v>
      </c>
      <c r="AF44" s="84">
        <f t="shared" si="12"/>
        <v>0.72181018113207551</v>
      </c>
      <c r="AG44" s="228">
        <f t="shared" si="13"/>
        <v>780</v>
      </c>
    </row>
    <row r="45" spans="1:35">
      <c r="A45" s="60">
        <f t="shared" si="0"/>
        <v>38</v>
      </c>
      <c r="B45" s="61">
        <v>4518</v>
      </c>
      <c r="C45" s="62" t="s">
        <v>356</v>
      </c>
      <c r="D45" s="62" t="s">
        <v>65</v>
      </c>
      <c r="E45" s="62" t="s">
        <v>402</v>
      </c>
      <c r="F45" s="62" t="s">
        <v>402</v>
      </c>
      <c r="G45" s="36" t="s">
        <v>402</v>
      </c>
      <c r="H45" s="62"/>
      <c r="I45" s="62" t="s">
        <v>360</v>
      </c>
      <c r="J45" s="346">
        <v>5</v>
      </c>
      <c r="K45" s="346">
        <v>5</v>
      </c>
      <c r="L45" s="346">
        <v>4</v>
      </c>
      <c r="M45" s="346">
        <v>4</v>
      </c>
      <c r="N45" s="346">
        <v>4</v>
      </c>
      <c r="O45" s="346">
        <v>4</v>
      </c>
      <c r="P45" s="346">
        <v>4</v>
      </c>
      <c r="Q45" s="346">
        <v>5</v>
      </c>
      <c r="R45" s="63">
        <f t="shared" si="7"/>
        <v>4.55</v>
      </c>
      <c r="S45" s="88">
        <f t="shared" si="2"/>
        <v>0.90999999999999992</v>
      </c>
      <c r="T45" s="65" t="str">
        <f t="shared" si="8"/>
        <v>Grade-A</v>
      </c>
      <c r="U45" s="107">
        <f>IFERROR(VLOOKUP(G45,Database!F:G,2,0),0)</f>
        <v>850</v>
      </c>
      <c r="V45" s="66">
        <v>1</v>
      </c>
      <c r="W45" s="84">
        <f t="shared" si="9"/>
        <v>0.96494559999999996</v>
      </c>
      <c r="X45" s="67">
        <f t="shared" si="14"/>
        <v>750</v>
      </c>
      <c r="Y45" s="66">
        <v>1</v>
      </c>
      <c r="Z45" s="84">
        <f t="shared" si="10"/>
        <v>0.96494559999999996</v>
      </c>
      <c r="AA45" s="67">
        <f t="shared" si="5"/>
        <v>750</v>
      </c>
      <c r="AB45" s="66">
        <v>1</v>
      </c>
      <c r="AC45" s="84">
        <f t="shared" si="11"/>
        <v>0.96494559999999996</v>
      </c>
      <c r="AD45" s="67">
        <f t="shared" si="6"/>
        <v>750</v>
      </c>
      <c r="AE45" s="66">
        <v>1</v>
      </c>
      <c r="AF45" s="84">
        <f t="shared" si="12"/>
        <v>0.72181018113207551</v>
      </c>
      <c r="AG45" s="228">
        <f t="shared" si="13"/>
        <v>560</v>
      </c>
    </row>
    <row r="46" spans="1:35">
      <c r="A46" s="60">
        <f t="shared" si="0"/>
        <v>39</v>
      </c>
      <c r="B46" s="61">
        <v>1553</v>
      </c>
      <c r="C46" s="62" t="s">
        <v>693</v>
      </c>
      <c r="D46" s="62"/>
      <c r="E46" s="62"/>
      <c r="F46" s="62"/>
      <c r="G46" s="36" t="s">
        <v>372</v>
      </c>
      <c r="H46" s="62"/>
      <c r="I46" s="62" t="s">
        <v>360</v>
      </c>
      <c r="J46" s="346">
        <v>4</v>
      </c>
      <c r="K46" s="346">
        <v>5</v>
      </c>
      <c r="L46" s="346">
        <v>4</v>
      </c>
      <c r="M46" s="346">
        <v>5</v>
      </c>
      <c r="N46" s="346">
        <v>5</v>
      </c>
      <c r="O46" s="346">
        <v>4</v>
      </c>
      <c r="P46" s="346">
        <v>4</v>
      </c>
      <c r="Q46" s="346">
        <v>5</v>
      </c>
      <c r="R46" s="63">
        <f t="shared" si="7"/>
        <v>4.45</v>
      </c>
      <c r="S46" s="88">
        <f t="shared" si="2"/>
        <v>0.89</v>
      </c>
      <c r="T46" s="65" t="str">
        <f t="shared" si="8"/>
        <v>Grade-B</v>
      </c>
      <c r="U46" s="107">
        <f>IFERROR(VLOOKUP(G46,Database!F:G,2,0),0)</f>
        <v>800</v>
      </c>
      <c r="V46" s="66"/>
      <c r="W46" s="84"/>
      <c r="X46" s="67"/>
      <c r="Y46" s="66"/>
      <c r="Z46" s="84"/>
      <c r="AA46" s="67"/>
      <c r="AB46" s="66"/>
      <c r="AC46" s="84"/>
      <c r="AD46" s="67"/>
      <c r="AE46" s="66">
        <v>1</v>
      </c>
      <c r="AF46" s="84">
        <f t="shared" si="12"/>
        <v>0.72181018113207551</v>
      </c>
      <c r="AG46" s="228">
        <f t="shared" si="13"/>
        <v>520</v>
      </c>
    </row>
    <row r="47" spans="1:35">
      <c r="A47" s="60">
        <f t="shared" si="0"/>
        <v>40</v>
      </c>
      <c r="B47" s="61">
        <v>1556</v>
      </c>
      <c r="C47" s="62" t="s">
        <v>694</v>
      </c>
      <c r="D47" s="62"/>
      <c r="E47" s="62"/>
      <c r="F47" s="62"/>
      <c r="G47" s="36" t="s">
        <v>372</v>
      </c>
      <c r="H47" s="62"/>
      <c r="I47" s="62" t="s">
        <v>360</v>
      </c>
      <c r="J47" s="346">
        <v>4</v>
      </c>
      <c r="K47" s="346">
        <v>5</v>
      </c>
      <c r="L47" s="346">
        <v>4</v>
      </c>
      <c r="M47" s="346">
        <v>5</v>
      </c>
      <c r="N47" s="346">
        <v>5</v>
      </c>
      <c r="O47" s="346">
        <v>5</v>
      </c>
      <c r="P47" s="346">
        <v>4</v>
      </c>
      <c r="Q47" s="346">
        <v>4</v>
      </c>
      <c r="R47" s="63">
        <f t="shared" si="7"/>
        <v>4.5</v>
      </c>
      <c r="S47" s="88">
        <f t="shared" si="2"/>
        <v>0.9</v>
      </c>
      <c r="T47" s="65" t="str">
        <f t="shared" si="8"/>
        <v>Grade-A</v>
      </c>
      <c r="U47" s="107">
        <f>IFERROR(VLOOKUP(G47,Database!F:G,2,0),0)</f>
        <v>800</v>
      </c>
      <c r="V47" s="66"/>
      <c r="W47" s="84"/>
      <c r="X47" s="67"/>
      <c r="Y47" s="66"/>
      <c r="Z47" s="84"/>
      <c r="AA47" s="67"/>
      <c r="AB47" s="66"/>
      <c r="AC47" s="84"/>
      <c r="AD47" s="67"/>
      <c r="AE47" s="66">
        <v>1</v>
      </c>
      <c r="AF47" s="84">
        <f t="shared" si="12"/>
        <v>0.72181018113207551</v>
      </c>
      <c r="AG47" s="228">
        <f t="shared" si="13"/>
        <v>520</v>
      </c>
    </row>
    <row r="48" spans="1:35">
      <c r="A48" s="60">
        <f t="shared" si="0"/>
        <v>41</v>
      </c>
      <c r="B48" s="61">
        <v>21094</v>
      </c>
      <c r="C48" s="62" t="s">
        <v>652</v>
      </c>
      <c r="D48" s="62"/>
      <c r="E48" s="62"/>
      <c r="F48" s="62" t="s">
        <v>370</v>
      </c>
      <c r="G48" s="36" t="s">
        <v>370</v>
      </c>
      <c r="H48" s="62"/>
      <c r="I48" s="62" t="s">
        <v>360</v>
      </c>
      <c r="J48" s="346">
        <v>4</v>
      </c>
      <c r="K48" s="346">
        <v>5</v>
      </c>
      <c r="L48" s="346">
        <v>5</v>
      </c>
      <c r="M48" s="346">
        <v>4</v>
      </c>
      <c r="N48" s="346">
        <v>4</v>
      </c>
      <c r="O48" s="346">
        <v>5</v>
      </c>
      <c r="P48" s="346">
        <v>4</v>
      </c>
      <c r="Q48" s="346">
        <v>5</v>
      </c>
      <c r="R48" s="63">
        <f t="shared" si="7"/>
        <v>4.45</v>
      </c>
      <c r="S48" s="88">
        <f t="shared" si="2"/>
        <v>0.89</v>
      </c>
      <c r="T48" s="65" t="str">
        <f t="shared" si="8"/>
        <v>Grade-B</v>
      </c>
      <c r="U48" s="107">
        <f>IFERROR(VLOOKUP(G48,Database!F:G,2,0),0)</f>
        <v>600</v>
      </c>
      <c r="V48" s="66">
        <v>0.43</v>
      </c>
      <c r="W48" s="84">
        <f t="shared" si="9"/>
        <v>0.96494559999999996</v>
      </c>
      <c r="X48" s="67">
        <f t="shared" ref="X48" si="15">CEILING($S48*$U48*V48*W48,10)</f>
        <v>230</v>
      </c>
      <c r="Y48" s="66">
        <v>1</v>
      </c>
      <c r="Z48" s="84">
        <f t="shared" si="10"/>
        <v>0.96494559999999996</v>
      </c>
      <c r="AA48" s="67">
        <f t="shared" si="5"/>
        <v>520</v>
      </c>
      <c r="AB48" s="66">
        <v>1</v>
      </c>
      <c r="AC48" s="84">
        <f t="shared" si="11"/>
        <v>0.96494559999999996</v>
      </c>
      <c r="AD48" s="67">
        <f t="shared" si="6"/>
        <v>520</v>
      </c>
      <c r="AE48" s="66">
        <v>1.1000000000000001</v>
      </c>
      <c r="AF48" s="84">
        <f t="shared" si="12"/>
        <v>0.72181018113207551</v>
      </c>
      <c r="AG48" s="228">
        <f t="shared" si="13"/>
        <v>430</v>
      </c>
    </row>
    <row r="49" spans="21:33">
      <c r="U49" s="111">
        <f>SUM(U8:U48)</f>
        <v>41100</v>
      </c>
      <c r="X49" s="174">
        <f>SUM(X8:X48)</f>
        <v>31480</v>
      </c>
      <c r="AA49" s="174">
        <f>SUM(AA8:AA48)</f>
        <v>32880</v>
      </c>
      <c r="AD49" s="174">
        <f>SUM(AD8:AD48)</f>
        <v>31160</v>
      </c>
      <c r="AG49" s="348">
        <f>SUM(AG8:AG48)</f>
        <v>26720</v>
      </c>
    </row>
  </sheetData>
  <autoFilter ref="A7:U41"/>
  <mergeCells count="4">
    <mergeCell ref="A1:T1"/>
    <mergeCell ref="C2:J2"/>
    <mergeCell ref="C3:J3"/>
    <mergeCell ref="C4:J4"/>
  </mergeCells>
  <phoneticPr fontId="3" type="noConversion"/>
  <dataValidations count="5">
    <dataValidation allowBlank="1" showInputMessage="1" showErrorMessage="1" prompt="Represents the highest level of performance. Outstanding and exceptional achievements." sqref="J6"/>
    <dataValidation allowBlank="1" showInputMessage="1" showErrorMessage="1" prompt="Strong performance with positive results. Shows commitment and excellence." sqref="K6"/>
    <dataValidation allowBlank="1" showInputMessage="1" showErrorMessage="1" prompt="Acceptable performance with satisfactory results. Some aspects can be improved." sqref="L6"/>
    <dataValidation allowBlank="1" showInputMessage="1" showErrorMessage="1" prompt="Performance below expectations. Needs development and significant improvements." sqref="M6"/>
    <dataValidation allowBlank="1" showInputMessage="1" showErrorMessage="1" prompt="The lowest level of performance. Requires drastic changes for improvement." sqref="N6"/>
  </dataValidations>
  <pageMargins left="0.7" right="0.7" top="0.75" bottom="0.75" header="0.3" footer="0.3"/>
  <pageSetup paperSize="9" scale="52" fitToHeight="2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Database!$F$2:$F$47</xm:f>
          </x14:formula1>
          <xm:sqref>H26:H27 G43:G44 G48 G8:G25 G28:G41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G81"/>
  <sheetViews>
    <sheetView zoomScaleNormal="100" workbookViewId="0">
      <pane xSplit="3" ySplit="7" topLeftCell="J59" activePane="bottomRight" state="frozen"/>
      <selection activeCell="G47" sqref="G47"/>
      <selection pane="topRight" activeCell="G47" sqref="G47"/>
      <selection pane="bottomLeft" activeCell="G47" sqref="G47"/>
      <selection pane="bottomRight" activeCell="A66" sqref="A66:AG68"/>
    </sheetView>
  </sheetViews>
  <sheetFormatPr defaultColWidth="8.875" defaultRowHeight="13.5"/>
  <cols>
    <col min="1" max="1" width="7.6875" style="42" customWidth="1"/>
    <col min="2" max="2" width="10.125" style="42" customWidth="1"/>
    <col min="3" max="3" width="25.125" style="42" bestFit="1" customWidth="1"/>
    <col min="4" max="4" width="15.3125" style="42" hidden="1" customWidth="1"/>
    <col min="5" max="5" width="14.125" style="42" hidden="1" customWidth="1"/>
    <col min="6" max="6" width="14.6875" style="42" customWidth="1"/>
    <col min="7" max="7" width="14.6875" style="42" hidden="1" customWidth="1"/>
    <col min="8" max="8" width="13.6875" style="42" hidden="1" customWidth="1"/>
    <col min="9" max="9" width="30.3125" style="42" customWidth="1"/>
    <col min="10" max="10" width="10" style="109" customWidth="1"/>
    <col min="11" max="11" width="11.125" style="109" customWidth="1"/>
    <col min="12" max="12" width="8.125" style="109" customWidth="1"/>
    <col min="13" max="13" width="7.875" style="109" customWidth="1"/>
    <col min="14" max="14" width="8.3125" style="109" customWidth="1"/>
    <col min="15" max="15" width="7.125" style="109" customWidth="1"/>
    <col min="16" max="16" width="8.875" style="109" customWidth="1"/>
    <col min="17" max="17" width="8.3125" style="109" customWidth="1"/>
    <col min="18" max="18" width="6.125" style="42" customWidth="1"/>
    <col min="19" max="19" width="11.6875" style="42" customWidth="1"/>
    <col min="20" max="20" width="9" style="42" bestFit="1" customWidth="1"/>
    <col min="21" max="21" width="8.125" style="42" bestFit="1" customWidth="1"/>
    <col min="22" max="22" width="10.125" style="42" hidden="1" customWidth="1"/>
    <col min="23" max="24" width="9.875" style="42" hidden="1" customWidth="1"/>
    <col min="25" max="25" width="10.125" style="42" hidden="1" customWidth="1"/>
    <col min="26" max="27" width="9.875" style="42" hidden="1" customWidth="1"/>
    <col min="28" max="28" width="10.125" style="42" hidden="1" customWidth="1"/>
    <col min="29" max="30" width="9.875" style="42" hidden="1" customWidth="1"/>
    <col min="31" max="31" width="10.125" style="42" bestFit="1" customWidth="1"/>
    <col min="32" max="32" width="11.125" style="42" bestFit="1" customWidth="1"/>
    <col min="33" max="33" width="9.875" style="42" bestFit="1" customWidth="1"/>
    <col min="34" max="16384" width="8.875" style="42"/>
  </cols>
  <sheetData>
    <row r="1" spans="1:33" ht="20.25">
      <c r="A1" s="394" t="s">
        <v>0</v>
      </c>
      <c r="B1" s="394"/>
      <c r="C1" s="394"/>
      <c r="D1" s="394"/>
      <c r="E1" s="394"/>
      <c r="F1" s="394"/>
      <c r="G1" s="394"/>
      <c r="H1" s="394"/>
      <c r="I1" s="394"/>
      <c r="J1" s="394"/>
      <c r="K1" s="394"/>
      <c r="L1" s="394"/>
      <c r="M1" s="394"/>
      <c r="N1" s="394"/>
      <c r="O1" s="394"/>
      <c r="P1" s="394"/>
      <c r="Q1" s="394"/>
      <c r="R1" s="394"/>
      <c r="S1" s="394"/>
      <c r="T1" s="394"/>
      <c r="U1" s="153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3" ht="20.25">
      <c r="A2" s="154" t="s">
        <v>1</v>
      </c>
      <c r="B2" s="155"/>
      <c r="C2" s="395" t="s">
        <v>726</v>
      </c>
      <c r="D2" s="395"/>
      <c r="E2" s="395"/>
      <c r="F2" s="395"/>
      <c r="G2" s="395"/>
      <c r="H2" s="395"/>
      <c r="I2" s="395"/>
      <c r="J2" s="395"/>
      <c r="K2" s="156"/>
      <c r="L2" s="157"/>
      <c r="M2" s="158"/>
      <c r="N2" s="158"/>
      <c r="O2" s="158"/>
      <c r="P2" s="153" t="s">
        <v>189</v>
      </c>
      <c r="Q2" s="153">
        <f>COUNTA(C8:C1048576)</f>
        <v>73</v>
      </c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</row>
    <row r="3" spans="1:33" ht="15.6" customHeight="1">
      <c r="A3" s="154" t="s">
        <v>4</v>
      </c>
      <c r="B3" s="159"/>
      <c r="C3" s="395" t="s">
        <v>727</v>
      </c>
      <c r="D3" s="395"/>
      <c r="E3" s="395"/>
      <c r="F3" s="395"/>
      <c r="G3" s="395"/>
      <c r="H3" s="395"/>
      <c r="I3" s="395"/>
      <c r="J3" s="395"/>
      <c r="K3" s="160"/>
      <c r="L3" s="160"/>
      <c r="M3" s="160"/>
      <c r="N3" s="160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</row>
    <row r="4" spans="1:33" ht="15.6" customHeight="1">
      <c r="A4" s="154" t="s">
        <v>5</v>
      </c>
      <c r="B4" s="159"/>
      <c r="C4" s="161"/>
      <c r="D4" s="161"/>
      <c r="E4" s="161"/>
      <c r="F4" s="161"/>
      <c r="G4" s="161"/>
      <c r="H4" s="161"/>
      <c r="I4" s="162">
        <v>0.3</v>
      </c>
      <c r="J4" s="162">
        <v>0.2</v>
      </c>
      <c r="K4" s="163">
        <v>0.1</v>
      </c>
      <c r="L4" s="163">
        <v>0.1</v>
      </c>
      <c r="M4" s="163">
        <v>0.1</v>
      </c>
      <c r="N4" s="163">
        <v>0.1</v>
      </c>
      <c r="O4" s="162">
        <v>0.05</v>
      </c>
      <c r="P4" s="162">
        <v>0.05</v>
      </c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</row>
    <row r="5" spans="1:33" ht="15">
      <c r="A5" s="41"/>
      <c r="B5" s="41"/>
      <c r="C5" s="41"/>
      <c r="D5" s="41"/>
      <c r="E5" s="41"/>
      <c r="F5" s="41"/>
      <c r="G5" s="41"/>
      <c r="H5" s="41"/>
      <c r="I5" s="41"/>
      <c r="J5" s="52" t="s">
        <v>6</v>
      </c>
      <c r="K5" s="53" t="s">
        <v>7</v>
      </c>
      <c r="L5" s="54" t="s">
        <v>8</v>
      </c>
      <c r="M5" s="55" t="s">
        <v>9</v>
      </c>
      <c r="N5" s="56" t="s">
        <v>10</v>
      </c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</row>
    <row r="6" spans="1:33" ht="18.600000000000001" customHeight="1">
      <c r="A6" s="41"/>
      <c r="B6" s="41"/>
      <c r="C6" s="41"/>
      <c r="D6" s="41"/>
      <c r="E6" s="41"/>
      <c r="F6" s="41"/>
      <c r="G6" s="41"/>
      <c r="H6" s="41"/>
      <c r="I6" s="41"/>
      <c r="J6" s="52" t="s">
        <v>11</v>
      </c>
      <c r="K6" s="53" t="s">
        <v>12</v>
      </c>
      <c r="L6" s="54" t="s">
        <v>13</v>
      </c>
      <c r="M6" s="55" t="s">
        <v>14</v>
      </c>
      <c r="N6" s="56" t="s">
        <v>15</v>
      </c>
      <c r="O6" s="41"/>
      <c r="P6" s="41"/>
      <c r="Q6" s="41"/>
      <c r="R6" s="41"/>
      <c r="S6" s="41"/>
      <c r="T6" s="41"/>
      <c r="U6" s="41"/>
      <c r="V6" s="41"/>
      <c r="W6" s="164">
        <v>5000000</v>
      </c>
      <c r="X6" s="164">
        <f>Management!W6</f>
        <v>4824728</v>
      </c>
      <c r="Y6" s="41"/>
      <c r="Z6" s="164">
        <v>5000000</v>
      </c>
      <c r="AA6" s="164">
        <f>Management!Z6</f>
        <v>4824728</v>
      </c>
      <c r="AB6" s="41"/>
      <c r="AC6" s="164">
        <v>5000000</v>
      </c>
      <c r="AD6" s="164">
        <f>Management!AC6</f>
        <v>4824728</v>
      </c>
      <c r="AE6" s="41"/>
      <c r="AF6" s="164">
        <f>Management!AE6</f>
        <v>5300000</v>
      </c>
      <c r="AG6" s="164">
        <f>Management!AF6</f>
        <v>3825593.96</v>
      </c>
    </row>
    <row r="7" spans="1:33" ht="99.95" customHeight="1">
      <c r="A7" s="177" t="s">
        <v>16</v>
      </c>
      <c r="B7" s="177" t="s">
        <v>17</v>
      </c>
      <c r="C7" s="177" t="s">
        <v>18</v>
      </c>
      <c r="D7" s="177" t="s">
        <v>19</v>
      </c>
      <c r="E7" s="177" t="s">
        <v>20</v>
      </c>
      <c r="F7" s="178" t="s">
        <v>425</v>
      </c>
      <c r="G7" s="178" t="s">
        <v>425</v>
      </c>
      <c r="H7" s="177" t="s">
        <v>363</v>
      </c>
      <c r="I7" s="177" t="s">
        <v>359</v>
      </c>
      <c r="J7" s="179" t="s">
        <v>21</v>
      </c>
      <c r="K7" s="179" t="s">
        <v>22</v>
      </c>
      <c r="L7" s="179" t="s">
        <v>23</v>
      </c>
      <c r="M7" s="179" t="s">
        <v>24</v>
      </c>
      <c r="N7" s="179" t="s">
        <v>25</v>
      </c>
      <c r="O7" s="179" t="s">
        <v>26</v>
      </c>
      <c r="P7" s="179" t="s">
        <v>27</v>
      </c>
      <c r="Q7" s="179" t="s">
        <v>28</v>
      </c>
      <c r="R7" s="177" t="s">
        <v>29</v>
      </c>
      <c r="S7" s="177" t="s">
        <v>30</v>
      </c>
      <c r="T7" s="177" t="s">
        <v>31</v>
      </c>
      <c r="U7" s="178" t="s">
        <v>364</v>
      </c>
      <c r="V7" s="179" t="s">
        <v>623</v>
      </c>
      <c r="W7" s="177" t="s">
        <v>420</v>
      </c>
      <c r="X7" s="177" t="s">
        <v>657</v>
      </c>
      <c r="Y7" s="179" t="s">
        <v>623</v>
      </c>
      <c r="Z7" s="177" t="s">
        <v>420</v>
      </c>
      <c r="AA7" s="177" t="s">
        <v>676</v>
      </c>
      <c r="AB7" s="179" t="s">
        <v>623</v>
      </c>
      <c r="AC7" s="177" t="s">
        <v>420</v>
      </c>
      <c r="AD7" s="177" t="s">
        <v>682</v>
      </c>
      <c r="AE7" s="179" t="s">
        <v>623</v>
      </c>
      <c r="AF7" s="177" t="s">
        <v>420</v>
      </c>
      <c r="AG7" s="177" t="s">
        <v>758</v>
      </c>
    </row>
    <row r="8" spans="1:33">
      <c r="A8" s="68">
        <f t="shared" ref="A8:A70" si="0">IF(B8&lt;&gt;"",ROW()-7,"")</f>
        <v>1</v>
      </c>
      <c r="B8" s="135" t="s">
        <v>192</v>
      </c>
      <c r="C8" s="136" t="s">
        <v>204</v>
      </c>
      <c r="D8" s="136" t="s">
        <v>217</v>
      </c>
      <c r="E8" s="136" t="s">
        <v>365</v>
      </c>
      <c r="F8" s="137" t="s">
        <v>396</v>
      </c>
      <c r="G8" s="136"/>
      <c r="H8" s="136"/>
      <c r="I8" s="136" t="s">
        <v>746</v>
      </c>
      <c r="J8" s="186">
        <v>0</v>
      </c>
      <c r="K8" s="186">
        <v>0</v>
      </c>
      <c r="L8" s="186">
        <v>0</v>
      </c>
      <c r="M8" s="186">
        <v>0</v>
      </c>
      <c r="N8" s="186">
        <v>0</v>
      </c>
      <c r="O8" s="186">
        <v>0</v>
      </c>
      <c r="P8" s="186">
        <v>0</v>
      </c>
      <c r="Q8" s="186">
        <v>0</v>
      </c>
      <c r="R8" s="253">
        <f t="shared" ref="R8" si="1">IF(B8&lt;&gt;"", J8*0.3 + K8*0.2 + L8*0.1 + M8*0.1 + N8*0.1 + O8*0.1 + P8*0.05 + Q8*0.05, "")</f>
        <v>0</v>
      </c>
      <c r="S8" s="254">
        <f t="shared" ref="S8" si="2">IF(B8&lt;&gt;"", (($I$4/5)*J8) + (($J$4/5)*K8) + (($K$4/5)*L8) + (($L$4/5)*M8) + (($M$4/5)*N8) + (($N$4/5)*O8) + (($O$4/5)*P8) + (($P$4/5)*Q8), "")</f>
        <v>0</v>
      </c>
      <c r="T8" s="255" t="str">
        <f t="shared" ref="T8" si="3">IF(B8&lt;&gt;"", IF(R8=0, "No-Grade",   IF(AND(R8&gt;=4.5, R8&lt;=5), "Grade-A",   IF(AND(R8&gt;=3, R8&lt;4.5), "Grade-B",   IF(AND(R8&gt;=2, R8&lt;3), "Grade-C",   IF(R8&lt;2, "Grade-D",   "Grade-D"))))), "")</f>
        <v>No-Grade</v>
      </c>
      <c r="U8" s="138">
        <f>IFERROR(VLOOKUP(F8,Database!F:G,2,0),0)</f>
        <v>2000</v>
      </c>
      <c r="V8" s="138">
        <v>1</v>
      </c>
      <c r="W8" s="256">
        <f>$X$6/$W$6</f>
        <v>0.96494559999999996</v>
      </c>
      <c r="X8" s="198">
        <f>CEILING($S8*$U8*V8*W8,10)</f>
        <v>0</v>
      </c>
      <c r="Y8" s="138">
        <v>1</v>
      </c>
      <c r="Z8" s="256">
        <f>$X$6/$W$6</f>
        <v>0.96494559999999996</v>
      </c>
      <c r="AA8" s="198">
        <f>CEILING($S8*$U8*Y8*Z8,10)</f>
        <v>0</v>
      </c>
      <c r="AB8" s="138">
        <v>1</v>
      </c>
      <c r="AC8" s="256">
        <f>$X$6/$W$6</f>
        <v>0.96494559999999996</v>
      </c>
      <c r="AD8" s="198">
        <f>CEILING($S8*$U8*AB8*AC8,10)</f>
        <v>0</v>
      </c>
      <c r="AE8" s="138">
        <v>0</v>
      </c>
      <c r="AF8" s="256">
        <f>$AG$6/$AF$6</f>
        <v>0.72181018113207551</v>
      </c>
      <c r="AG8" s="230">
        <f>CEILING($S8*$U8*AE8*AF8,10)</f>
        <v>0</v>
      </c>
    </row>
    <row r="9" spans="1:33">
      <c r="A9" s="68">
        <f t="shared" si="0"/>
        <v>2</v>
      </c>
      <c r="B9" s="69">
        <v>6711</v>
      </c>
      <c r="C9" s="70" t="s">
        <v>209</v>
      </c>
      <c r="D9" s="70" t="s">
        <v>221</v>
      </c>
      <c r="E9" s="70" t="s">
        <v>405</v>
      </c>
      <c r="F9" s="83" t="s">
        <v>377</v>
      </c>
      <c r="G9" s="70"/>
      <c r="H9" s="70"/>
      <c r="I9" s="62" t="s">
        <v>360</v>
      </c>
      <c r="J9" s="71">
        <v>3</v>
      </c>
      <c r="K9" s="71">
        <v>4</v>
      </c>
      <c r="L9" s="71">
        <v>5</v>
      </c>
      <c r="M9" s="71">
        <v>5</v>
      </c>
      <c r="N9" s="71">
        <v>2</v>
      </c>
      <c r="O9" s="71">
        <v>2</v>
      </c>
      <c r="P9" s="71">
        <v>5</v>
      </c>
      <c r="Q9" s="71">
        <v>2</v>
      </c>
      <c r="R9" s="63">
        <f t="shared" ref="R9:R71" si="4">IF(B9&lt;&gt;"", J9*0.3 + K9*0.2 + L9*0.1 + M9*0.1 + N9*0.1 + O9*0.1 + P9*0.05 + Q9*0.05, "")</f>
        <v>3.4500000000000006</v>
      </c>
      <c r="S9" s="64">
        <f t="shared" ref="S9:S71" si="5">IF(B9&lt;&gt;"", (($I$4/5)*J9) + (($J$4/5)*K9) + (($K$4/5)*L9) + (($L$4/5)*M9) + (($M$4/5)*N9) + (($N$4/5)*O9) + (($O$4/5)*P9) + (($P$4/5)*Q9), "")</f>
        <v>0.69000000000000006</v>
      </c>
      <c r="T9" s="65" t="str">
        <f t="shared" ref="T9:T71" si="6">IF(B9&lt;&gt;"", IF(R9=0, "No-Grade",   IF(AND(R9&gt;=4.5, R9&lt;=5), "Grade-A",   IF(AND(R9&gt;=3, R9&lt;4.5), "Grade-B",   IF(AND(R9&gt;=2, R9&lt;3), "Grade-C",   IF(R9&lt;2, "Grade-D",   "Grade-D"))))), "")</f>
        <v>Grade-B</v>
      </c>
      <c r="U9" s="90">
        <f>IFERROR(VLOOKUP(F9,Database!F:G,2,0),0)</f>
        <v>1200</v>
      </c>
      <c r="V9" s="90">
        <v>1</v>
      </c>
      <c r="W9" s="75">
        <f t="shared" ref="W9:W76" si="7">$X$6/$W$6</f>
        <v>0.96494559999999996</v>
      </c>
      <c r="X9" s="76">
        <f t="shared" ref="X9:X60" si="8">CEILING($S9*$U9*V9*W9,10)</f>
        <v>800</v>
      </c>
      <c r="Y9" s="90">
        <v>1</v>
      </c>
      <c r="Z9" s="75">
        <f t="shared" ref="Z9:Z76" si="9">$X$6/$W$6</f>
        <v>0.96494559999999996</v>
      </c>
      <c r="AA9" s="76">
        <f t="shared" ref="AA9:AA60" si="10">CEILING($S9*$U9*Y9*Z9,10)</f>
        <v>800</v>
      </c>
      <c r="AB9" s="90">
        <v>0.65</v>
      </c>
      <c r="AC9" s="75">
        <f t="shared" ref="AC9:AC76" si="11">$X$6/$W$6</f>
        <v>0.96494559999999996</v>
      </c>
      <c r="AD9" s="76">
        <f t="shared" ref="AD9:AD60" si="12">CEILING($S9*$U9*AB9*AC9,10)</f>
        <v>520</v>
      </c>
      <c r="AE9" s="90">
        <v>1</v>
      </c>
      <c r="AF9" s="75">
        <f t="shared" ref="AF9:AF69" si="13">$AG$6/$AF$6</f>
        <v>0.72181018113207551</v>
      </c>
      <c r="AG9" s="229">
        <f t="shared" ref="AG9:AG71" si="14">CEILING($S9*$U9*AE9*AF9,10)</f>
        <v>600</v>
      </c>
    </row>
    <row r="10" spans="1:33" s="8" customFormat="1">
      <c r="A10" s="60">
        <f t="shared" si="0"/>
        <v>3</v>
      </c>
      <c r="B10" s="61" t="s">
        <v>201</v>
      </c>
      <c r="C10" s="62" t="s">
        <v>721</v>
      </c>
      <c r="D10" s="62" t="s">
        <v>225</v>
      </c>
      <c r="E10" s="62" t="s">
        <v>366</v>
      </c>
      <c r="F10" s="36" t="s">
        <v>378</v>
      </c>
      <c r="G10" s="62"/>
      <c r="H10" s="62"/>
      <c r="I10" s="62" t="s">
        <v>360</v>
      </c>
      <c r="J10" s="77">
        <v>5</v>
      </c>
      <c r="K10" s="77">
        <v>3</v>
      </c>
      <c r="L10" s="77">
        <v>4</v>
      </c>
      <c r="M10" s="77">
        <v>4</v>
      </c>
      <c r="N10" s="77">
        <v>3</v>
      </c>
      <c r="O10" s="77">
        <v>3</v>
      </c>
      <c r="P10" s="77">
        <v>4</v>
      </c>
      <c r="Q10" s="77">
        <v>4</v>
      </c>
      <c r="R10" s="63">
        <f t="shared" si="4"/>
        <v>3.9000000000000004</v>
      </c>
      <c r="S10" s="64">
        <f t="shared" si="5"/>
        <v>0.78</v>
      </c>
      <c r="T10" s="65" t="str">
        <f t="shared" si="6"/>
        <v>Grade-B</v>
      </c>
      <c r="U10" s="148">
        <f>IFERROR(VLOOKUP(F10,Database!F:G,2,0),0)</f>
        <v>1000</v>
      </c>
      <c r="V10" s="66">
        <v>1</v>
      </c>
      <c r="W10" s="38">
        <f t="shared" si="7"/>
        <v>0.96494559999999996</v>
      </c>
      <c r="X10" s="67">
        <f t="shared" si="8"/>
        <v>760</v>
      </c>
      <c r="Y10" s="66">
        <v>1</v>
      </c>
      <c r="Z10" s="38">
        <f t="shared" si="9"/>
        <v>0.96494559999999996</v>
      </c>
      <c r="AA10" s="67">
        <f t="shared" si="10"/>
        <v>760</v>
      </c>
      <c r="AB10" s="66">
        <v>1</v>
      </c>
      <c r="AC10" s="38">
        <f t="shared" si="11"/>
        <v>0.96494559999999996</v>
      </c>
      <c r="AD10" s="67">
        <f t="shared" si="12"/>
        <v>760</v>
      </c>
      <c r="AE10" s="66">
        <v>1</v>
      </c>
      <c r="AF10" s="38">
        <f t="shared" si="13"/>
        <v>0.72181018113207551</v>
      </c>
      <c r="AG10" s="228">
        <f t="shared" si="14"/>
        <v>570</v>
      </c>
    </row>
    <row r="11" spans="1:33">
      <c r="A11" s="68">
        <f t="shared" si="0"/>
        <v>4</v>
      </c>
      <c r="B11" s="69">
        <v>2174</v>
      </c>
      <c r="C11" s="70" t="s">
        <v>533</v>
      </c>
      <c r="D11" s="70" t="s">
        <v>186</v>
      </c>
      <c r="E11" s="70" t="s">
        <v>338</v>
      </c>
      <c r="F11" s="36" t="s">
        <v>365</v>
      </c>
      <c r="G11" s="70" t="s">
        <v>365</v>
      </c>
      <c r="H11" s="70" t="s">
        <v>365</v>
      </c>
      <c r="I11" s="62" t="s">
        <v>360</v>
      </c>
      <c r="J11" s="71">
        <v>3</v>
      </c>
      <c r="K11" s="71">
        <v>4</v>
      </c>
      <c r="L11" s="71">
        <v>5</v>
      </c>
      <c r="M11" s="71">
        <v>5</v>
      </c>
      <c r="N11" s="71">
        <v>3</v>
      </c>
      <c r="O11" s="71">
        <v>3</v>
      </c>
      <c r="P11" s="71">
        <v>4</v>
      </c>
      <c r="Q11" s="71">
        <v>2</v>
      </c>
      <c r="R11" s="63">
        <f t="shared" si="4"/>
        <v>3.6</v>
      </c>
      <c r="S11" s="64">
        <f t="shared" si="5"/>
        <v>0.72</v>
      </c>
      <c r="T11" s="65" t="str">
        <f t="shared" si="6"/>
        <v>Grade-B</v>
      </c>
      <c r="U11" s="147">
        <f>IFERROR(VLOOKUP(F11,Database!F:G,2,0),0)</f>
        <v>1700</v>
      </c>
      <c r="V11" s="90">
        <v>0.13</v>
      </c>
      <c r="W11" s="75">
        <f t="shared" si="7"/>
        <v>0.96494559999999996</v>
      </c>
      <c r="X11" s="76">
        <f t="shared" si="8"/>
        <v>160</v>
      </c>
      <c r="Y11" s="90">
        <v>0</v>
      </c>
      <c r="Z11" s="75">
        <f t="shared" si="9"/>
        <v>0.96494559999999996</v>
      </c>
      <c r="AA11" s="76">
        <f t="shared" si="10"/>
        <v>0</v>
      </c>
      <c r="AB11" s="90">
        <v>1</v>
      </c>
      <c r="AC11" s="75">
        <f t="shared" si="11"/>
        <v>0.96494559999999996</v>
      </c>
      <c r="AD11" s="76">
        <f t="shared" si="12"/>
        <v>1190</v>
      </c>
      <c r="AE11" s="90">
        <v>1</v>
      </c>
      <c r="AF11" s="75">
        <f t="shared" si="13"/>
        <v>0.72181018113207551</v>
      </c>
      <c r="AG11" s="229">
        <f t="shared" si="14"/>
        <v>890</v>
      </c>
    </row>
    <row r="12" spans="1:33" ht="15.75" customHeight="1">
      <c r="A12" s="68">
        <f t="shared" si="0"/>
        <v>5</v>
      </c>
      <c r="B12" s="69">
        <v>20491</v>
      </c>
      <c r="C12" s="70" t="s">
        <v>491</v>
      </c>
      <c r="D12" s="70" t="s">
        <v>170</v>
      </c>
      <c r="E12" s="70" t="s">
        <v>318</v>
      </c>
      <c r="F12" s="83" t="s">
        <v>405</v>
      </c>
      <c r="G12" s="70" t="s">
        <v>366</v>
      </c>
      <c r="H12" s="70" t="s">
        <v>366</v>
      </c>
      <c r="I12" s="62" t="s">
        <v>360</v>
      </c>
      <c r="J12" s="71">
        <v>5</v>
      </c>
      <c r="K12" s="71">
        <v>4</v>
      </c>
      <c r="L12" s="71">
        <v>5</v>
      </c>
      <c r="M12" s="71">
        <v>4</v>
      </c>
      <c r="N12" s="71">
        <v>5</v>
      </c>
      <c r="O12" s="71">
        <v>4</v>
      </c>
      <c r="P12" s="71">
        <v>5</v>
      </c>
      <c r="Q12" s="71">
        <v>5</v>
      </c>
      <c r="R12" s="63">
        <f t="shared" si="4"/>
        <v>4.5999999999999996</v>
      </c>
      <c r="S12" s="64">
        <f t="shared" si="5"/>
        <v>0.91999999999999993</v>
      </c>
      <c r="T12" s="65" t="str">
        <f t="shared" si="6"/>
        <v>Grade-A</v>
      </c>
      <c r="U12" s="147">
        <f>IFERROR(VLOOKUP(F12,Database!F:G,2,0),0)</f>
        <v>1400</v>
      </c>
      <c r="V12" s="90">
        <v>1</v>
      </c>
      <c r="W12" s="75">
        <f t="shared" si="7"/>
        <v>0.96494559999999996</v>
      </c>
      <c r="X12" s="76">
        <f t="shared" si="8"/>
        <v>1250</v>
      </c>
      <c r="Y12" s="90">
        <v>1</v>
      </c>
      <c r="Z12" s="75">
        <f t="shared" si="9"/>
        <v>0.96494559999999996</v>
      </c>
      <c r="AA12" s="76">
        <f t="shared" si="10"/>
        <v>1250</v>
      </c>
      <c r="AB12" s="90">
        <v>0.28999999999999998</v>
      </c>
      <c r="AC12" s="75">
        <f t="shared" si="11"/>
        <v>0.96494559999999996</v>
      </c>
      <c r="AD12" s="76">
        <f t="shared" si="12"/>
        <v>370</v>
      </c>
      <c r="AE12" s="90">
        <v>0.81</v>
      </c>
      <c r="AF12" s="75">
        <f t="shared" si="13"/>
        <v>0.72181018113207551</v>
      </c>
      <c r="AG12" s="229">
        <f t="shared" si="14"/>
        <v>760</v>
      </c>
    </row>
    <row r="13" spans="1:33" s="8" customFormat="1">
      <c r="A13" s="60">
        <f t="shared" si="0"/>
        <v>6</v>
      </c>
      <c r="B13" s="61">
        <v>25481</v>
      </c>
      <c r="C13" s="62" t="s">
        <v>611</v>
      </c>
      <c r="D13" s="62"/>
      <c r="E13" s="62"/>
      <c r="F13" s="36" t="s">
        <v>377</v>
      </c>
      <c r="G13" s="62"/>
      <c r="H13" s="62"/>
      <c r="I13" s="62" t="s">
        <v>360</v>
      </c>
      <c r="J13" s="77">
        <v>4</v>
      </c>
      <c r="K13" s="77">
        <v>5</v>
      </c>
      <c r="L13" s="77">
        <v>5</v>
      </c>
      <c r="M13" s="77">
        <v>4</v>
      </c>
      <c r="N13" s="77">
        <v>5</v>
      </c>
      <c r="O13" s="77">
        <v>4</v>
      </c>
      <c r="P13" s="77">
        <v>5</v>
      </c>
      <c r="Q13" s="77">
        <v>5</v>
      </c>
      <c r="R13" s="63">
        <f t="shared" si="4"/>
        <v>4.5</v>
      </c>
      <c r="S13" s="64">
        <f t="shared" si="5"/>
        <v>0.9</v>
      </c>
      <c r="T13" s="65" t="str">
        <f t="shared" si="6"/>
        <v>Grade-A</v>
      </c>
      <c r="U13" s="148">
        <f>IFERROR(VLOOKUP(F13,Database!F:G,2,0),0)</f>
        <v>1200</v>
      </c>
      <c r="V13" s="66">
        <v>1</v>
      </c>
      <c r="W13" s="38">
        <f t="shared" si="7"/>
        <v>0.96494559999999996</v>
      </c>
      <c r="X13" s="67">
        <f t="shared" si="8"/>
        <v>1050</v>
      </c>
      <c r="Y13" s="66">
        <v>1</v>
      </c>
      <c r="Z13" s="38">
        <f t="shared" si="9"/>
        <v>0.96494559999999996</v>
      </c>
      <c r="AA13" s="67">
        <f t="shared" si="10"/>
        <v>1050</v>
      </c>
      <c r="AB13" s="66">
        <v>1</v>
      </c>
      <c r="AC13" s="38">
        <f t="shared" si="11"/>
        <v>0.96494559999999996</v>
      </c>
      <c r="AD13" s="67">
        <v>772</v>
      </c>
      <c r="AE13" s="66">
        <v>1</v>
      </c>
      <c r="AF13" s="38">
        <f t="shared" si="13"/>
        <v>0.72181018113207551</v>
      </c>
      <c r="AG13" s="228">
        <f t="shared" si="14"/>
        <v>780</v>
      </c>
    </row>
    <row r="14" spans="1:33">
      <c r="A14" s="68">
        <f t="shared" si="0"/>
        <v>7</v>
      </c>
      <c r="B14" s="61">
        <v>6714</v>
      </c>
      <c r="C14" s="62" t="s">
        <v>119</v>
      </c>
      <c r="D14" s="62" t="s">
        <v>168</v>
      </c>
      <c r="E14" s="62" t="s">
        <v>320</v>
      </c>
      <c r="F14" s="36" t="s">
        <v>405</v>
      </c>
      <c r="G14" s="62" t="s">
        <v>377</v>
      </c>
      <c r="H14" s="62" t="s">
        <v>377</v>
      </c>
      <c r="I14" s="62" t="s">
        <v>360</v>
      </c>
      <c r="J14" s="77">
        <v>3</v>
      </c>
      <c r="K14" s="77">
        <v>4</v>
      </c>
      <c r="L14" s="77">
        <v>4</v>
      </c>
      <c r="M14" s="77">
        <v>4</v>
      </c>
      <c r="N14" s="77">
        <v>3</v>
      </c>
      <c r="O14" s="77">
        <v>3</v>
      </c>
      <c r="P14" s="77">
        <v>5</v>
      </c>
      <c r="Q14" s="77">
        <v>3</v>
      </c>
      <c r="R14" s="63">
        <f t="shared" si="4"/>
        <v>3.4999999999999996</v>
      </c>
      <c r="S14" s="64">
        <f t="shared" si="5"/>
        <v>0.70000000000000018</v>
      </c>
      <c r="T14" s="65" t="str">
        <f t="shared" si="6"/>
        <v>Grade-B</v>
      </c>
      <c r="U14" s="148">
        <f>IFERROR(VLOOKUP(F14,Database!F:G,2,0),0)</f>
        <v>1400</v>
      </c>
      <c r="V14" s="66">
        <v>1</v>
      </c>
      <c r="W14" s="38">
        <f t="shared" si="7"/>
        <v>0.96494559999999996</v>
      </c>
      <c r="X14" s="67">
        <f t="shared" si="8"/>
        <v>950</v>
      </c>
      <c r="Y14" s="66">
        <v>1</v>
      </c>
      <c r="Z14" s="38">
        <f t="shared" si="9"/>
        <v>0.96494559999999996</v>
      </c>
      <c r="AA14" s="67">
        <f t="shared" si="10"/>
        <v>950</v>
      </c>
      <c r="AB14" s="66">
        <v>1</v>
      </c>
      <c r="AC14" s="38">
        <f t="shared" si="11"/>
        <v>0.96494559999999996</v>
      </c>
      <c r="AD14" s="67">
        <f t="shared" si="12"/>
        <v>950</v>
      </c>
      <c r="AE14" s="66">
        <v>1</v>
      </c>
      <c r="AF14" s="38">
        <f t="shared" si="13"/>
        <v>0.72181018113207551</v>
      </c>
      <c r="AG14" s="228">
        <f t="shared" si="14"/>
        <v>710</v>
      </c>
    </row>
    <row r="15" spans="1:33">
      <c r="A15" s="68">
        <f t="shared" si="0"/>
        <v>8</v>
      </c>
      <c r="B15" s="61">
        <v>15823</v>
      </c>
      <c r="C15" s="62" t="s">
        <v>118</v>
      </c>
      <c r="D15" s="62" t="s">
        <v>60</v>
      </c>
      <c r="E15" s="62" t="s">
        <v>319</v>
      </c>
      <c r="F15" s="36" t="s">
        <v>665</v>
      </c>
      <c r="G15" s="62"/>
      <c r="H15" s="62" t="s">
        <v>378</v>
      </c>
      <c r="I15" s="62" t="s">
        <v>360</v>
      </c>
      <c r="J15" s="71">
        <v>4</v>
      </c>
      <c r="K15" s="71">
        <v>4</v>
      </c>
      <c r="L15" s="71">
        <v>4</v>
      </c>
      <c r="M15" s="71">
        <v>5</v>
      </c>
      <c r="N15" s="71">
        <v>4</v>
      </c>
      <c r="O15" s="71">
        <v>4</v>
      </c>
      <c r="P15" s="71">
        <v>4</v>
      </c>
      <c r="Q15" s="71">
        <v>3</v>
      </c>
      <c r="R15" s="63">
        <f t="shared" si="4"/>
        <v>4.05</v>
      </c>
      <c r="S15" s="64">
        <f t="shared" si="5"/>
        <v>0.81</v>
      </c>
      <c r="T15" s="65" t="str">
        <f t="shared" si="6"/>
        <v>Grade-B</v>
      </c>
      <c r="U15" s="147">
        <f>IFERROR(VLOOKUP(F15,Database!F:G,2,0),0)</f>
        <v>700</v>
      </c>
      <c r="V15" s="90">
        <v>0.8</v>
      </c>
      <c r="W15" s="75">
        <f t="shared" si="7"/>
        <v>0.96494559999999996</v>
      </c>
      <c r="X15" s="76">
        <f t="shared" si="8"/>
        <v>440</v>
      </c>
      <c r="Y15" s="90">
        <v>0.8</v>
      </c>
      <c r="Z15" s="75">
        <f t="shared" si="9"/>
        <v>0.96494559999999996</v>
      </c>
      <c r="AA15" s="76">
        <f t="shared" si="10"/>
        <v>440</v>
      </c>
      <c r="AB15" s="90">
        <v>0.23</v>
      </c>
      <c r="AC15" s="38">
        <f t="shared" si="11"/>
        <v>0.96494559999999996</v>
      </c>
      <c r="AD15" s="67">
        <f t="shared" si="12"/>
        <v>130</v>
      </c>
      <c r="AE15" s="90">
        <v>1</v>
      </c>
      <c r="AF15" s="38">
        <f t="shared" si="13"/>
        <v>0.72181018113207551</v>
      </c>
      <c r="AG15" s="228">
        <f t="shared" si="14"/>
        <v>410</v>
      </c>
    </row>
    <row r="16" spans="1:33">
      <c r="A16" s="60">
        <f t="shared" si="0"/>
        <v>9</v>
      </c>
      <c r="B16" s="61">
        <v>319</v>
      </c>
      <c r="C16" s="62" t="s">
        <v>138</v>
      </c>
      <c r="D16" s="62" t="s">
        <v>60</v>
      </c>
      <c r="E16" s="62" t="s">
        <v>397</v>
      </c>
      <c r="F16" s="36" t="s">
        <v>386</v>
      </c>
      <c r="G16" s="62"/>
      <c r="H16" s="62"/>
      <c r="I16" s="62" t="s">
        <v>360</v>
      </c>
      <c r="J16" s="77">
        <v>5</v>
      </c>
      <c r="K16" s="77">
        <v>5</v>
      </c>
      <c r="L16" s="77">
        <v>5</v>
      </c>
      <c r="M16" s="77">
        <v>5</v>
      </c>
      <c r="N16" s="77">
        <v>5</v>
      </c>
      <c r="O16" s="77">
        <v>4</v>
      </c>
      <c r="P16" s="77">
        <v>5</v>
      </c>
      <c r="Q16" s="77">
        <v>4</v>
      </c>
      <c r="R16" s="63">
        <f t="shared" si="4"/>
        <v>4.8500000000000005</v>
      </c>
      <c r="S16" s="64">
        <f t="shared" si="5"/>
        <v>0.97</v>
      </c>
      <c r="T16" s="65" t="str">
        <f t="shared" si="6"/>
        <v>Grade-A</v>
      </c>
      <c r="U16" s="148">
        <f>IFERROR(VLOOKUP(F16,Database!F:G,2,0),0)</f>
        <v>900</v>
      </c>
      <c r="V16" s="66">
        <v>1</v>
      </c>
      <c r="W16" s="38">
        <f t="shared" si="7"/>
        <v>0.96494559999999996</v>
      </c>
      <c r="X16" s="67">
        <f t="shared" si="8"/>
        <v>850</v>
      </c>
      <c r="Y16" s="66">
        <v>1</v>
      </c>
      <c r="Z16" s="38">
        <f t="shared" si="9"/>
        <v>0.96494559999999996</v>
      </c>
      <c r="AA16" s="67">
        <f t="shared" si="10"/>
        <v>850</v>
      </c>
      <c r="AB16" s="66">
        <v>1</v>
      </c>
      <c r="AC16" s="38">
        <f t="shared" si="11"/>
        <v>0.96494559999999996</v>
      </c>
      <c r="AD16" s="67">
        <f t="shared" si="12"/>
        <v>850</v>
      </c>
      <c r="AE16" s="66">
        <v>1</v>
      </c>
      <c r="AF16" s="38">
        <f t="shared" si="13"/>
        <v>0.72181018113207551</v>
      </c>
      <c r="AG16" s="228">
        <f t="shared" si="14"/>
        <v>640</v>
      </c>
    </row>
    <row r="17" spans="1:33">
      <c r="A17" s="68">
        <f t="shared" si="0"/>
        <v>10</v>
      </c>
      <c r="B17" s="61">
        <v>453</v>
      </c>
      <c r="C17" s="62" t="s">
        <v>139</v>
      </c>
      <c r="D17" s="62" t="s">
        <v>32</v>
      </c>
      <c r="E17" s="62" t="s">
        <v>370</v>
      </c>
      <c r="F17" s="36" t="s">
        <v>386</v>
      </c>
      <c r="G17" s="62"/>
      <c r="H17" s="62"/>
      <c r="I17" s="62" t="s">
        <v>360</v>
      </c>
      <c r="J17" s="77">
        <v>5</v>
      </c>
      <c r="K17" s="77">
        <v>5</v>
      </c>
      <c r="L17" s="77">
        <v>5</v>
      </c>
      <c r="M17" s="77">
        <v>5</v>
      </c>
      <c r="N17" s="77">
        <v>5</v>
      </c>
      <c r="O17" s="77">
        <v>4</v>
      </c>
      <c r="P17" s="77">
        <v>5</v>
      </c>
      <c r="Q17" s="77">
        <v>5</v>
      </c>
      <c r="R17" s="63">
        <f t="shared" si="4"/>
        <v>4.9000000000000004</v>
      </c>
      <c r="S17" s="64">
        <f t="shared" si="5"/>
        <v>0.98</v>
      </c>
      <c r="T17" s="65" t="str">
        <f t="shared" si="6"/>
        <v>Grade-A</v>
      </c>
      <c r="U17" s="148">
        <f>IFERROR(VLOOKUP(F17,Database!F:G,2,0),0)</f>
        <v>900</v>
      </c>
      <c r="V17" s="66">
        <v>1</v>
      </c>
      <c r="W17" s="38">
        <f t="shared" si="7"/>
        <v>0.96494559999999996</v>
      </c>
      <c r="X17" s="67">
        <f t="shared" si="8"/>
        <v>860</v>
      </c>
      <c r="Y17" s="66">
        <v>1</v>
      </c>
      <c r="Z17" s="38">
        <f t="shared" si="9"/>
        <v>0.96494559999999996</v>
      </c>
      <c r="AA17" s="67">
        <f t="shared" si="10"/>
        <v>860</v>
      </c>
      <c r="AB17" s="66">
        <v>1</v>
      </c>
      <c r="AC17" s="38">
        <f t="shared" si="11"/>
        <v>0.96494559999999996</v>
      </c>
      <c r="AD17" s="67">
        <f t="shared" si="12"/>
        <v>860</v>
      </c>
      <c r="AE17" s="66">
        <v>1</v>
      </c>
      <c r="AF17" s="38">
        <f t="shared" si="13"/>
        <v>0.72181018113207551</v>
      </c>
      <c r="AG17" s="228">
        <f t="shared" si="14"/>
        <v>640</v>
      </c>
    </row>
    <row r="18" spans="1:33">
      <c r="A18" s="68">
        <f t="shared" si="0"/>
        <v>11</v>
      </c>
      <c r="B18" s="61">
        <v>3824</v>
      </c>
      <c r="C18" s="62" t="s">
        <v>140</v>
      </c>
      <c r="D18" s="62" t="s">
        <v>32</v>
      </c>
      <c r="E18" s="62" t="s">
        <v>370</v>
      </c>
      <c r="F18" s="36" t="s">
        <v>387</v>
      </c>
      <c r="G18" s="62"/>
      <c r="H18" s="62"/>
      <c r="I18" s="62" t="s">
        <v>360</v>
      </c>
      <c r="J18" s="77">
        <v>5</v>
      </c>
      <c r="K18" s="77">
        <v>5</v>
      </c>
      <c r="L18" s="77">
        <v>5</v>
      </c>
      <c r="M18" s="77">
        <v>5</v>
      </c>
      <c r="N18" s="77">
        <v>5</v>
      </c>
      <c r="O18" s="77">
        <v>5</v>
      </c>
      <c r="P18" s="77">
        <v>5</v>
      </c>
      <c r="Q18" s="77">
        <v>4</v>
      </c>
      <c r="R18" s="63">
        <f t="shared" si="4"/>
        <v>4.95</v>
      </c>
      <c r="S18" s="64">
        <f t="shared" si="5"/>
        <v>0.99</v>
      </c>
      <c r="T18" s="65" t="str">
        <f t="shared" si="6"/>
        <v>Grade-A</v>
      </c>
      <c r="U18" s="148">
        <f>IFERROR(VLOOKUP(F18,Database!F:G,2,0),0)</f>
        <v>800</v>
      </c>
      <c r="V18" s="66">
        <v>1</v>
      </c>
      <c r="W18" s="38">
        <f t="shared" si="7"/>
        <v>0.96494559999999996</v>
      </c>
      <c r="X18" s="67">
        <f t="shared" si="8"/>
        <v>770</v>
      </c>
      <c r="Y18" s="66">
        <v>1</v>
      </c>
      <c r="Z18" s="38">
        <f t="shared" si="9"/>
        <v>0.96494559999999996</v>
      </c>
      <c r="AA18" s="67">
        <f t="shared" si="10"/>
        <v>770</v>
      </c>
      <c r="AB18" s="66">
        <v>1</v>
      </c>
      <c r="AC18" s="38">
        <f t="shared" si="11"/>
        <v>0.96494559999999996</v>
      </c>
      <c r="AD18" s="67">
        <f t="shared" si="12"/>
        <v>770</v>
      </c>
      <c r="AE18" s="66">
        <v>1</v>
      </c>
      <c r="AF18" s="38">
        <f t="shared" si="13"/>
        <v>0.72181018113207551</v>
      </c>
      <c r="AG18" s="228">
        <f t="shared" si="14"/>
        <v>580</v>
      </c>
    </row>
    <row r="19" spans="1:33">
      <c r="A19" s="60">
        <f t="shared" si="0"/>
        <v>12</v>
      </c>
      <c r="B19" s="61">
        <v>4655</v>
      </c>
      <c r="C19" s="62" t="s">
        <v>141</v>
      </c>
      <c r="D19" s="62" t="s">
        <v>32</v>
      </c>
      <c r="E19" s="62" t="s">
        <v>370</v>
      </c>
      <c r="F19" s="36" t="s">
        <v>387</v>
      </c>
      <c r="G19" s="62"/>
      <c r="H19" s="62"/>
      <c r="I19" s="62" t="s">
        <v>360</v>
      </c>
      <c r="J19" s="77">
        <v>4</v>
      </c>
      <c r="K19" s="77">
        <v>5</v>
      </c>
      <c r="L19" s="77">
        <v>5</v>
      </c>
      <c r="M19" s="77">
        <v>5</v>
      </c>
      <c r="N19" s="77">
        <v>5</v>
      </c>
      <c r="O19" s="77">
        <v>5</v>
      </c>
      <c r="P19" s="77">
        <v>5</v>
      </c>
      <c r="Q19" s="77">
        <v>5</v>
      </c>
      <c r="R19" s="63">
        <f t="shared" si="4"/>
        <v>4.7</v>
      </c>
      <c r="S19" s="64">
        <f t="shared" si="5"/>
        <v>0.94000000000000006</v>
      </c>
      <c r="T19" s="65" t="str">
        <f t="shared" si="6"/>
        <v>Grade-A</v>
      </c>
      <c r="U19" s="148">
        <f>IFERROR(VLOOKUP(F19,Database!F:G,2,0),0)</f>
        <v>800</v>
      </c>
      <c r="V19" s="66">
        <v>1</v>
      </c>
      <c r="W19" s="38">
        <f t="shared" si="7"/>
        <v>0.96494559999999996</v>
      </c>
      <c r="X19" s="67">
        <f t="shared" si="8"/>
        <v>730</v>
      </c>
      <c r="Y19" s="66">
        <v>1</v>
      </c>
      <c r="Z19" s="38">
        <f t="shared" si="9"/>
        <v>0.96494559999999996</v>
      </c>
      <c r="AA19" s="67">
        <f t="shared" si="10"/>
        <v>730</v>
      </c>
      <c r="AB19" s="66">
        <v>1</v>
      </c>
      <c r="AC19" s="38">
        <f t="shared" si="11"/>
        <v>0.96494559999999996</v>
      </c>
      <c r="AD19" s="67">
        <f t="shared" si="12"/>
        <v>730</v>
      </c>
      <c r="AE19" s="66">
        <v>1</v>
      </c>
      <c r="AF19" s="38">
        <f t="shared" si="13"/>
        <v>0.72181018113207551</v>
      </c>
      <c r="AG19" s="228">
        <f t="shared" si="14"/>
        <v>550</v>
      </c>
    </row>
    <row r="20" spans="1:33">
      <c r="A20" s="68">
        <f t="shared" si="0"/>
        <v>13</v>
      </c>
      <c r="B20" s="290">
        <v>7989</v>
      </c>
      <c r="C20" s="291" t="s">
        <v>142</v>
      </c>
      <c r="D20" s="291" t="s">
        <v>32</v>
      </c>
      <c r="E20" s="291" t="s">
        <v>370</v>
      </c>
      <c r="F20" s="250" t="s">
        <v>387</v>
      </c>
      <c r="G20" s="291"/>
      <c r="H20" s="291"/>
      <c r="I20" s="291" t="s">
        <v>773</v>
      </c>
      <c r="J20" s="323">
        <v>5</v>
      </c>
      <c r="K20" s="323">
        <v>5</v>
      </c>
      <c r="L20" s="323">
        <v>5</v>
      </c>
      <c r="M20" s="323">
        <v>5</v>
      </c>
      <c r="N20" s="323">
        <v>5</v>
      </c>
      <c r="O20" s="323">
        <v>5</v>
      </c>
      <c r="P20" s="323">
        <v>4</v>
      </c>
      <c r="Q20" s="323">
        <v>5</v>
      </c>
      <c r="R20" s="292">
        <f t="shared" si="4"/>
        <v>4.95</v>
      </c>
      <c r="S20" s="293">
        <f t="shared" si="5"/>
        <v>0.99</v>
      </c>
      <c r="T20" s="294" t="str">
        <f t="shared" si="6"/>
        <v>Grade-A</v>
      </c>
      <c r="U20" s="324">
        <f>IFERROR(VLOOKUP(F20,Database!F:G,2,0),0)</f>
        <v>800</v>
      </c>
      <c r="V20" s="296">
        <v>1</v>
      </c>
      <c r="W20" s="325">
        <f t="shared" si="7"/>
        <v>0.96494559999999996</v>
      </c>
      <c r="X20" s="298">
        <f t="shared" si="8"/>
        <v>770</v>
      </c>
      <c r="Y20" s="296">
        <v>1</v>
      </c>
      <c r="Z20" s="325">
        <f t="shared" si="9"/>
        <v>0.96494559999999996</v>
      </c>
      <c r="AA20" s="298">
        <f t="shared" si="10"/>
        <v>770</v>
      </c>
      <c r="AB20" s="296">
        <v>1</v>
      </c>
      <c r="AC20" s="325">
        <f t="shared" si="11"/>
        <v>0.96494559999999996</v>
      </c>
      <c r="AD20" s="298">
        <f t="shared" si="12"/>
        <v>770</v>
      </c>
      <c r="AE20" s="296">
        <v>0.42</v>
      </c>
      <c r="AF20" s="325">
        <f t="shared" si="13"/>
        <v>0.72181018113207551</v>
      </c>
      <c r="AG20" s="299">
        <f t="shared" si="14"/>
        <v>250</v>
      </c>
    </row>
    <row r="21" spans="1:33" s="8" customFormat="1">
      <c r="A21" s="68">
        <f t="shared" si="0"/>
        <v>14</v>
      </c>
      <c r="B21" s="61">
        <v>8243</v>
      </c>
      <c r="C21" s="62" t="s">
        <v>143</v>
      </c>
      <c r="D21" s="62" t="s">
        <v>32</v>
      </c>
      <c r="E21" s="62" t="s">
        <v>370</v>
      </c>
      <c r="F21" s="36" t="s">
        <v>370</v>
      </c>
      <c r="G21" s="62"/>
      <c r="H21" s="62"/>
      <c r="I21" s="62" t="s">
        <v>360</v>
      </c>
      <c r="J21" s="77">
        <v>4</v>
      </c>
      <c r="K21" s="77">
        <v>5</v>
      </c>
      <c r="L21" s="77">
        <v>4</v>
      </c>
      <c r="M21" s="77">
        <v>5</v>
      </c>
      <c r="N21" s="77">
        <v>4</v>
      </c>
      <c r="O21" s="77">
        <v>4</v>
      </c>
      <c r="P21" s="77">
        <v>4</v>
      </c>
      <c r="Q21" s="77">
        <v>5</v>
      </c>
      <c r="R21" s="63">
        <f t="shared" si="4"/>
        <v>4.3499999999999996</v>
      </c>
      <c r="S21" s="64">
        <f t="shared" si="5"/>
        <v>0.87</v>
      </c>
      <c r="T21" s="65" t="str">
        <f t="shared" si="6"/>
        <v>Grade-B</v>
      </c>
      <c r="U21" s="148">
        <f>IFERROR(VLOOKUP(F21,Database!F:G,2,0),0)</f>
        <v>600</v>
      </c>
      <c r="V21" s="66">
        <v>1</v>
      </c>
      <c r="W21" s="38">
        <f t="shared" si="7"/>
        <v>0.96494559999999996</v>
      </c>
      <c r="X21" s="67">
        <f t="shared" si="8"/>
        <v>510</v>
      </c>
      <c r="Y21" s="66">
        <v>0.97</v>
      </c>
      <c r="Z21" s="38">
        <f t="shared" si="9"/>
        <v>0.96494559999999996</v>
      </c>
      <c r="AA21" s="67">
        <f t="shared" si="10"/>
        <v>490</v>
      </c>
      <c r="AB21" s="66">
        <v>1</v>
      </c>
      <c r="AC21" s="38">
        <f t="shared" si="11"/>
        <v>0.96494559999999996</v>
      </c>
      <c r="AD21" s="67">
        <f t="shared" si="12"/>
        <v>510</v>
      </c>
      <c r="AE21" s="66">
        <v>1</v>
      </c>
      <c r="AF21" s="38">
        <f t="shared" si="13"/>
        <v>0.72181018113207551</v>
      </c>
      <c r="AG21" s="228">
        <f t="shared" si="14"/>
        <v>380</v>
      </c>
    </row>
    <row r="22" spans="1:33">
      <c r="A22" s="60">
        <f t="shared" si="0"/>
        <v>15</v>
      </c>
      <c r="B22" s="61">
        <v>11174</v>
      </c>
      <c r="C22" s="62" t="s">
        <v>165</v>
      </c>
      <c r="D22" s="62" t="s">
        <v>188</v>
      </c>
      <c r="E22" s="62" t="s">
        <v>366</v>
      </c>
      <c r="F22" s="36" t="s">
        <v>365</v>
      </c>
      <c r="G22" s="62"/>
      <c r="H22" s="62"/>
      <c r="I22" s="62" t="s">
        <v>360</v>
      </c>
      <c r="J22" s="77">
        <v>5</v>
      </c>
      <c r="K22" s="77">
        <v>4</v>
      </c>
      <c r="L22" s="77">
        <v>5</v>
      </c>
      <c r="M22" s="77">
        <v>5</v>
      </c>
      <c r="N22" s="77">
        <v>3</v>
      </c>
      <c r="O22" s="77">
        <v>2</v>
      </c>
      <c r="P22" s="77">
        <v>5</v>
      </c>
      <c r="Q22" s="77">
        <v>3</v>
      </c>
      <c r="R22" s="63">
        <f t="shared" si="4"/>
        <v>4.2</v>
      </c>
      <c r="S22" s="64">
        <f t="shared" si="5"/>
        <v>0.84000000000000008</v>
      </c>
      <c r="T22" s="65" t="str">
        <f t="shared" si="6"/>
        <v>Grade-B</v>
      </c>
      <c r="U22" s="148">
        <f>IFERROR(VLOOKUP(F22,Database!F:G,2,0),0)</f>
        <v>1700</v>
      </c>
      <c r="V22" s="66">
        <v>1</v>
      </c>
      <c r="W22" s="38">
        <f t="shared" si="7"/>
        <v>0.96494559999999996</v>
      </c>
      <c r="X22" s="67">
        <f t="shared" si="8"/>
        <v>1380</v>
      </c>
      <c r="Y22" s="66">
        <v>1</v>
      </c>
      <c r="Z22" s="38">
        <f t="shared" si="9"/>
        <v>0.96494559999999996</v>
      </c>
      <c r="AA22" s="67">
        <f t="shared" si="10"/>
        <v>1380</v>
      </c>
      <c r="AB22" s="66">
        <v>1</v>
      </c>
      <c r="AC22" s="38">
        <f t="shared" si="11"/>
        <v>0.96494559999999996</v>
      </c>
      <c r="AD22" s="67">
        <f t="shared" si="12"/>
        <v>1380</v>
      </c>
      <c r="AE22" s="66">
        <v>1</v>
      </c>
      <c r="AF22" s="38">
        <f t="shared" si="13"/>
        <v>0.72181018113207551</v>
      </c>
      <c r="AG22" s="228">
        <f t="shared" si="14"/>
        <v>1040</v>
      </c>
    </row>
    <row r="23" spans="1:33">
      <c r="A23" s="68">
        <f t="shared" si="0"/>
        <v>16</v>
      </c>
      <c r="B23" s="61">
        <v>8302</v>
      </c>
      <c r="C23" s="62" t="s">
        <v>587</v>
      </c>
      <c r="D23" s="62" t="s">
        <v>32</v>
      </c>
      <c r="E23" s="62" t="s">
        <v>370</v>
      </c>
      <c r="F23" s="36" t="s">
        <v>370</v>
      </c>
      <c r="G23" s="62"/>
      <c r="H23" s="62"/>
      <c r="I23" s="62" t="s">
        <v>360</v>
      </c>
      <c r="J23" s="77">
        <v>4</v>
      </c>
      <c r="K23" s="77">
        <v>5</v>
      </c>
      <c r="L23" s="77">
        <v>5</v>
      </c>
      <c r="M23" s="77">
        <v>5</v>
      </c>
      <c r="N23" s="77">
        <v>5</v>
      </c>
      <c r="O23" s="77">
        <v>4</v>
      </c>
      <c r="P23" s="77">
        <v>5</v>
      </c>
      <c r="Q23" s="77">
        <v>5</v>
      </c>
      <c r="R23" s="63">
        <f t="shared" si="4"/>
        <v>4.6000000000000005</v>
      </c>
      <c r="S23" s="64">
        <f t="shared" si="5"/>
        <v>0.92</v>
      </c>
      <c r="T23" s="65" t="str">
        <f t="shared" si="6"/>
        <v>Grade-A</v>
      </c>
      <c r="U23" s="148">
        <f>IFERROR(VLOOKUP(F23,Database!F:G,2,0),0)</f>
        <v>600</v>
      </c>
      <c r="V23" s="66">
        <v>1</v>
      </c>
      <c r="W23" s="38">
        <f t="shared" si="7"/>
        <v>0.96494559999999996</v>
      </c>
      <c r="X23" s="67">
        <f t="shared" si="8"/>
        <v>540</v>
      </c>
      <c r="Y23" s="66">
        <v>0.42</v>
      </c>
      <c r="Z23" s="38">
        <f t="shared" si="9"/>
        <v>0.96494559999999996</v>
      </c>
      <c r="AA23" s="67">
        <f t="shared" si="10"/>
        <v>230</v>
      </c>
      <c r="AB23" s="66">
        <v>1</v>
      </c>
      <c r="AC23" s="38">
        <f t="shared" si="11"/>
        <v>0.96494559999999996</v>
      </c>
      <c r="AD23" s="67">
        <f t="shared" si="12"/>
        <v>540</v>
      </c>
      <c r="AE23" s="66">
        <v>1</v>
      </c>
      <c r="AF23" s="38">
        <f t="shared" si="13"/>
        <v>0.72181018113207551</v>
      </c>
      <c r="AG23" s="228">
        <f t="shared" si="14"/>
        <v>400</v>
      </c>
    </row>
    <row r="24" spans="1:33">
      <c r="A24" s="68">
        <f t="shared" si="0"/>
        <v>17</v>
      </c>
      <c r="B24" s="61">
        <v>6644</v>
      </c>
      <c r="C24" s="62" t="s">
        <v>588</v>
      </c>
      <c r="D24" s="62" t="s">
        <v>32</v>
      </c>
      <c r="E24" s="62" t="s">
        <v>370</v>
      </c>
      <c r="F24" s="36" t="s">
        <v>665</v>
      </c>
      <c r="G24" s="62"/>
      <c r="H24" s="62"/>
      <c r="I24" s="62" t="s">
        <v>360</v>
      </c>
      <c r="J24" s="77">
        <v>5</v>
      </c>
      <c r="K24" s="77">
        <v>5</v>
      </c>
      <c r="L24" s="77">
        <v>5</v>
      </c>
      <c r="M24" s="77">
        <v>5</v>
      </c>
      <c r="N24" s="77">
        <v>5</v>
      </c>
      <c r="O24" s="77">
        <v>4</v>
      </c>
      <c r="P24" s="77">
        <v>5</v>
      </c>
      <c r="Q24" s="77">
        <v>4</v>
      </c>
      <c r="R24" s="63">
        <f t="shared" si="4"/>
        <v>4.8500000000000005</v>
      </c>
      <c r="S24" s="64">
        <f t="shared" si="5"/>
        <v>0.97</v>
      </c>
      <c r="T24" s="65" t="str">
        <f t="shared" si="6"/>
        <v>Grade-A</v>
      </c>
      <c r="U24" s="148">
        <f>IFERROR(VLOOKUP(F24,Database!F:G,2,0),0)</f>
        <v>700</v>
      </c>
      <c r="V24" s="66">
        <v>1</v>
      </c>
      <c r="W24" s="38">
        <f t="shared" si="7"/>
        <v>0.96494559999999996</v>
      </c>
      <c r="X24" s="67">
        <f t="shared" si="8"/>
        <v>660</v>
      </c>
      <c r="Y24" s="66">
        <v>1</v>
      </c>
      <c r="Z24" s="38">
        <f t="shared" si="9"/>
        <v>0.96494559999999996</v>
      </c>
      <c r="AA24" s="67">
        <f t="shared" si="10"/>
        <v>660</v>
      </c>
      <c r="AB24" s="66">
        <v>1</v>
      </c>
      <c r="AC24" s="38">
        <f t="shared" si="11"/>
        <v>0.96494559999999996</v>
      </c>
      <c r="AD24" s="67">
        <f t="shared" si="12"/>
        <v>660</v>
      </c>
      <c r="AE24" s="66">
        <v>1</v>
      </c>
      <c r="AF24" s="38">
        <f t="shared" si="13"/>
        <v>0.72181018113207551</v>
      </c>
      <c r="AG24" s="228">
        <f t="shared" si="14"/>
        <v>500</v>
      </c>
    </row>
    <row r="25" spans="1:33">
      <c r="A25" s="60">
        <f t="shared" si="0"/>
        <v>18</v>
      </c>
      <c r="B25" s="61">
        <v>17869</v>
      </c>
      <c r="C25" s="62" t="s">
        <v>144</v>
      </c>
      <c r="D25" s="62" t="s">
        <v>32</v>
      </c>
      <c r="E25" s="62" t="s">
        <v>370</v>
      </c>
      <c r="F25" s="36" t="s">
        <v>370</v>
      </c>
      <c r="G25" s="62"/>
      <c r="H25" s="62"/>
      <c r="I25" s="62" t="s">
        <v>360</v>
      </c>
      <c r="J25" s="77">
        <v>4</v>
      </c>
      <c r="K25" s="77">
        <v>4</v>
      </c>
      <c r="L25" s="77">
        <v>5</v>
      </c>
      <c r="M25" s="77">
        <v>5</v>
      </c>
      <c r="N25" s="77">
        <v>5</v>
      </c>
      <c r="O25" s="77">
        <v>5</v>
      </c>
      <c r="P25" s="77">
        <v>5</v>
      </c>
      <c r="Q25" s="77">
        <v>5</v>
      </c>
      <c r="R25" s="63">
        <f t="shared" si="4"/>
        <v>4.5</v>
      </c>
      <c r="S25" s="64">
        <f t="shared" si="5"/>
        <v>0.9</v>
      </c>
      <c r="T25" s="65" t="str">
        <f t="shared" si="6"/>
        <v>Grade-A</v>
      </c>
      <c r="U25" s="148">
        <f>IFERROR(VLOOKUP(F25,Database!F:G,2,0),0)</f>
        <v>600</v>
      </c>
      <c r="V25" s="66">
        <v>1</v>
      </c>
      <c r="W25" s="38">
        <f t="shared" si="7"/>
        <v>0.96494559999999996</v>
      </c>
      <c r="X25" s="67">
        <f t="shared" si="8"/>
        <v>530</v>
      </c>
      <c r="Y25" s="66">
        <v>1</v>
      </c>
      <c r="Z25" s="38">
        <f t="shared" si="9"/>
        <v>0.96494559999999996</v>
      </c>
      <c r="AA25" s="67">
        <f t="shared" si="10"/>
        <v>530</v>
      </c>
      <c r="AB25" s="66">
        <v>1</v>
      </c>
      <c r="AC25" s="38">
        <f t="shared" si="11"/>
        <v>0.96494559999999996</v>
      </c>
      <c r="AD25" s="67">
        <f t="shared" si="12"/>
        <v>530</v>
      </c>
      <c r="AE25" s="66">
        <v>1</v>
      </c>
      <c r="AF25" s="38">
        <f t="shared" si="13"/>
        <v>0.72181018113207551</v>
      </c>
      <c r="AG25" s="228">
        <f t="shared" si="14"/>
        <v>390</v>
      </c>
    </row>
    <row r="26" spans="1:33">
      <c r="A26" s="68">
        <f t="shared" si="0"/>
        <v>19</v>
      </c>
      <c r="B26" s="69">
        <v>18013</v>
      </c>
      <c r="C26" s="70" t="s">
        <v>589</v>
      </c>
      <c r="D26" s="70" t="s">
        <v>32</v>
      </c>
      <c r="E26" s="70" t="s">
        <v>370</v>
      </c>
      <c r="F26" s="83" t="s">
        <v>370</v>
      </c>
      <c r="G26" s="70"/>
      <c r="H26" s="70"/>
      <c r="I26" s="62" t="s">
        <v>360</v>
      </c>
      <c r="J26" s="71">
        <v>4</v>
      </c>
      <c r="K26" s="71">
        <v>4</v>
      </c>
      <c r="L26" s="71">
        <v>4</v>
      </c>
      <c r="M26" s="71">
        <v>5</v>
      </c>
      <c r="N26" s="71">
        <v>4</v>
      </c>
      <c r="O26" s="71">
        <v>5</v>
      </c>
      <c r="P26" s="71">
        <v>5</v>
      </c>
      <c r="Q26" s="71">
        <v>5</v>
      </c>
      <c r="R26" s="63">
        <f t="shared" si="4"/>
        <v>4.3</v>
      </c>
      <c r="S26" s="64">
        <f t="shared" si="5"/>
        <v>0.8600000000000001</v>
      </c>
      <c r="T26" s="65" t="str">
        <f t="shared" si="6"/>
        <v>Grade-B</v>
      </c>
      <c r="U26" s="148">
        <f>IFERROR(VLOOKUP(F26,Database!F:G,2,0),0)</f>
        <v>600</v>
      </c>
      <c r="V26" s="90">
        <v>1</v>
      </c>
      <c r="W26" s="75">
        <f t="shared" si="7"/>
        <v>0.96494559999999996</v>
      </c>
      <c r="X26" s="76">
        <f t="shared" si="8"/>
        <v>500</v>
      </c>
      <c r="Y26" s="90">
        <v>1</v>
      </c>
      <c r="Z26" s="75">
        <f t="shared" si="9"/>
        <v>0.96494559999999996</v>
      </c>
      <c r="AA26" s="76">
        <f t="shared" si="10"/>
        <v>500</v>
      </c>
      <c r="AB26" s="90">
        <v>1</v>
      </c>
      <c r="AC26" s="75">
        <f t="shared" si="11"/>
        <v>0.96494559999999996</v>
      </c>
      <c r="AD26" s="76">
        <f t="shared" si="12"/>
        <v>500</v>
      </c>
      <c r="AE26" s="90">
        <v>1</v>
      </c>
      <c r="AF26" s="75">
        <f t="shared" si="13"/>
        <v>0.72181018113207551</v>
      </c>
      <c r="AG26" s="229">
        <f t="shared" si="14"/>
        <v>380</v>
      </c>
    </row>
    <row r="27" spans="1:33" s="41" customFormat="1">
      <c r="A27" s="68">
        <f t="shared" si="0"/>
        <v>20</v>
      </c>
      <c r="B27" s="69">
        <v>18512</v>
      </c>
      <c r="C27" s="70" t="s">
        <v>590</v>
      </c>
      <c r="D27" s="70" t="s">
        <v>32</v>
      </c>
      <c r="E27" s="70" t="s">
        <v>370</v>
      </c>
      <c r="F27" s="83" t="s">
        <v>665</v>
      </c>
      <c r="G27" s="70"/>
      <c r="H27" s="70"/>
      <c r="I27" s="62" t="s">
        <v>360</v>
      </c>
      <c r="J27" s="71">
        <v>5</v>
      </c>
      <c r="K27" s="71">
        <v>5</v>
      </c>
      <c r="L27" s="71">
        <v>5</v>
      </c>
      <c r="M27" s="71">
        <v>5</v>
      </c>
      <c r="N27" s="71">
        <v>4</v>
      </c>
      <c r="O27" s="71">
        <v>5</v>
      </c>
      <c r="P27" s="71">
        <v>5</v>
      </c>
      <c r="Q27" s="71">
        <v>5</v>
      </c>
      <c r="R27" s="63">
        <f t="shared" si="4"/>
        <v>4.9000000000000004</v>
      </c>
      <c r="S27" s="64">
        <f t="shared" si="5"/>
        <v>0.98</v>
      </c>
      <c r="T27" s="65" t="str">
        <f t="shared" si="6"/>
        <v>Grade-A</v>
      </c>
      <c r="U27" s="147">
        <f>IFERROR(VLOOKUP(F27,Database!F:G,2,0),0)</f>
        <v>700</v>
      </c>
      <c r="V27" s="90">
        <v>1</v>
      </c>
      <c r="W27" s="75">
        <f t="shared" si="7"/>
        <v>0.96494559999999996</v>
      </c>
      <c r="X27" s="76">
        <f t="shared" si="8"/>
        <v>670</v>
      </c>
      <c r="Y27" s="90">
        <v>1</v>
      </c>
      <c r="Z27" s="75">
        <f t="shared" si="9"/>
        <v>0.96494559999999996</v>
      </c>
      <c r="AA27" s="76">
        <f t="shared" si="10"/>
        <v>670</v>
      </c>
      <c r="AB27" s="90">
        <v>0.26</v>
      </c>
      <c r="AC27" s="75">
        <f t="shared" si="11"/>
        <v>0.96494559999999996</v>
      </c>
      <c r="AD27" s="76">
        <f t="shared" si="12"/>
        <v>180</v>
      </c>
      <c r="AE27" s="90">
        <v>1</v>
      </c>
      <c r="AF27" s="75">
        <f t="shared" si="13"/>
        <v>0.72181018113207551</v>
      </c>
      <c r="AG27" s="229">
        <f t="shared" si="14"/>
        <v>500</v>
      </c>
    </row>
    <row r="28" spans="1:33">
      <c r="A28" s="60">
        <f t="shared" si="0"/>
        <v>21</v>
      </c>
      <c r="B28" s="96">
        <v>18204</v>
      </c>
      <c r="C28" s="97" t="s">
        <v>591</v>
      </c>
      <c r="D28" s="97" t="s">
        <v>32</v>
      </c>
      <c r="E28" s="97" t="s">
        <v>370</v>
      </c>
      <c r="F28" s="37" t="s">
        <v>370</v>
      </c>
      <c r="G28" s="97"/>
      <c r="H28" s="97"/>
      <c r="I28" s="97" t="s">
        <v>751</v>
      </c>
      <c r="J28" s="98">
        <v>4</v>
      </c>
      <c r="K28" s="98">
        <v>5</v>
      </c>
      <c r="L28" s="98">
        <v>5</v>
      </c>
      <c r="M28" s="98">
        <v>5</v>
      </c>
      <c r="N28" s="98">
        <v>4</v>
      </c>
      <c r="O28" s="98">
        <v>4</v>
      </c>
      <c r="P28" s="98">
        <v>5</v>
      </c>
      <c r="Q28" s="98">
        <v>5</v>
      </c>
      <c r="R28" s="99">
        <f t="shared" si="4"/>
        <v>4.5</v>
      </c>
      <c r="S28" s="100">
        <f t="shared" si="5"/>
        <v>0.9</v>
      </c>
      <c r="T28" s="101" t="str">
        <f t="shared" si="6"/>
        <v>Grade-A</v>
      </c>
      <c r="U28" s="220">
        <f>IFERROR(VLOOKUP(F28,Database!F:G,2,0),0)</f>
        <v>600</v>
      </c>
      <c r="V28" s="102">
        <v>1</v>
      </c>
      <c r="W28" s="221">
        <f t="shared" si="7"/>
        <v>0.96494559999999996</v>
      </c>
      <c r="X28" s="202">
        <f t="shared" si="8"/>
        <v>530</v>
      </c>
      <c r="Y28" s="102">
        <v>1</v>
      </c>
      <c r="Z28" s="221">
        <f t="shared" si="9"/>
        <v>0.96494559999999996</v>
      </c>
      <c r="AA28" s="202">
        <f t="shared" si="10"/>
        <v>530</v>
      </c>
      <c r="AB28" s="102">
        <v>1</v>
      </c>
      <c r="AC28" s="221">
        <f t="shared" si="11"/>
        <v>0.96494559999999996</v>
      </c>
      <c r="AD28" s="202">
        <f t="shared" si="12"/>
        <v>530</v>
      </c>
      <c r="AE28" s="102">
        <v>1</v>
      </c>
      <c r="AF28" s="221">
        <f t="shared" si="13"/>
        <v>0.72181018113207551</v>
      </c>
      <c r="AG28" s="231">
        <f t="shared" si="14"/>
        <v>390</v>
      </c>
    </row>
    <row r="29" spans="1:33" s="8" customFormat="1">
      <c r="A29" s="68">
        <f t="shared" si="0"/>
        <v>22</v>
      </c>
      <c r="B29" s="69">
        <v>18612</v>
      </c>
      <c r="C29" s="70" t="s">
        <v>592</v>
      </c>
      <c r="D29" s="70" t="s">
        <v>32</v>
      </c>
      <c r="E29" s="70" t="s">
        <v>370</v>
      </c>
      <c r="F29" s="83" t="s">
        <v>370</v>
      </c>
      <c r="G29" s="70"/>
      <c r="H29" s="70"/>
      <c r="I29" s="62" t="s">
        <v>360</v>
      </c>
      <c r="J29" s="71">
        <v>5</v>
      </c>
      <c r="K29" s="71">
        <v>5</v>
      </c>
      <c r="L29" s="71">
        <v>5</v>
      </c>
      <c r="M29" s="71">
        <v>5</v>
      </c>
      <c r="N29" s="71">
        <v>5</v>
      </c>
      <c r="O29" s="71">
        <v>5</v>
      </c>
      <c r="P29" s="71">
        <v>3</v>
      </c>
      <c r="Q29" s="71">
        <v>5</v>
      </c>
      <c r="R29" s="63">
        <f t="shared" si="4"/>
        <v>4.9000000000000004</v>
      </c>
      <c r="S29" s="64">
        <f t="shared" si="5"/>
        <v>0.98</v>
      </c>
      <c r="T29" s="65" t="str">
        <f t="shared" si="6"/>
        <v>Grade-A</v>
      </c>
      <c r="U29" s="147">
        <f>IFERROR(VLOOKUP(F29,Database!F:G,2,0),0)</f>
        <v>600</v>
      </c>
      <c r="V29" s="90">
        <v>0.8</v>
      </c>
      <c r="W29" s="75">
        <f t="shared" si="7"/>
        <v>0.96494559999999996</v>
      </c>
      <c r="X29" s="76">
        <f t="shared" si="8"/>
        <v>460</v>
      </c>
      <c r="Y29" s="90">
        <v>1</v>
      </c>
      <c r="Z29" s="75">
        <f t="shared" si="9"/>
        <v>0.96494559999999996</v>
      </c>
      <c r="AA29" s="76">
        <f t="shared" si="10"/>
        <v>570</v>
      </c>
      <c r="AB29" s="90">
        <v>1</v>
      </c>
      <c r="AC29" s="75">
        <f t="shared" si="11"/>
        <v>0.96494559999999996</v>
      </c>
      <c r="AD29" s="76">
        <f t="shared" si="12"/>
        <v>570</v>
      </c>
      <c r="AE29" s="90">
        <v>1</v>
      </c>
      <c r="AF29" s="75">
        <f t="shared" si="13"/>
        <v>0.72181018113207551</v>
      </c>
      <c r="AG29" s="229">
        <f t="shared" si="14"/>
        <v>430</v>
      </c>
    </row>
    <row r="30" spans="1:33" s="41" customFormat="1">
      <c r="A30" s="68">
        <f t="shared" si="0"/>
        <v>23</v>
      </c>
      <c r="B30" s="69">
        <v>18679</v>
      </c>
      <c r="C30" s="70" t="s">
        <v>145</v>
      </c>
      <c r="D30" s="70" t="s">
        <v>32</v>
      </c>
      <c r="E30" s="70" t="s">
        <v>370</v>
      </c>
      <c r="F30" s="83" t="s">
        <v>370</v>
      </c>
      <c r="G30" s="70"/>
      <c r="H30" s="70"/>
      <c r="I30" s="70" t="s">
        <v>662</v>
      </c>
      <c r="J30" s="71">
        <v>5</v>
      </c>
      <c r="K30" s="71">
        <v>4</v>
      </c>
      <c r="L30" s="71">
        <v>5</v>
      </c>
      <c r="M30" s="71">
        <v>5</v>
      </c>
      <c r="N30" s="71">
        <v>5</v>
      </c>
      <c r="O30" s="71">
        <v>5</v>
      </c>
      <c r="P30" s="71">
        <v>4</v>
      </c>
      <c r="Q30" s="71">
        <v>5</v>
      </c>
      <c r="R30" s="63">
        <f t="shared" si="4"/>
        <v>4.75</v>
      </c>
      <c r="S30" s="64">
        <f t="shared" si="5"/>
        <v>0.95</v>
      </c>
      <c r="T30" s="65" t="str">
        <f t="shared" si="6"/>
        <v>Grade-A</v>
      </c>
      <c r="U30" s="147">
        <f>IFERROR(VLOOKUP(F30,Database!F:G,2,0),0)</f>
        <v>600</v>
      </c>
      <c r="V30" s="90">
        <v>1</v>
      </c>
      <c r="W30" s="75">
        <f t="shared" si="7"/>
        <v>0.96494559999999996</v>
      </c>
      <c r="X30" s="76">
        <f t="shared" si="8"/>
        <v>560</v>
      </c>
      <c r="Y30" s="90">
        <v>1</v>
      </c>
      <c r="Z30" s="75">
        <f t="shared" si="9"/>
        <v>0.96494559999999996</v>
      </c>
      <c r="AA30" s="76">
        <f t="shared" si="10"/>
        <v>560</v>
      </c>
      <c r="AB30" s="90">
        <v>0.97</v>
      </c>
      <c r="AC30" s="75">
        <f t="shared" si="11"/>
        <v>0.96494559999999996</v>
      </c>
      <c r="AD30" s="76">
        <f t="shared" si="12"/>
        <v>540</v>
      </c>
      <c r="AE30" s="90">
        <v>1</v>
      </c>
      <c r="AF30" s="75">
        <f t="shared" si="13"/>
        <v>0.72181018113207551</v>
      </c>
      <c r="AG30" s="229">
        <f t="shared" si="14"/>
        <v>420</v>
      </c>
    </row>
    <row r="31" spans="1:33">
      <c r="A31" s="60">
        <f t="shared" si="0"/>
        <v>24</v>
      </c>
      <c r="B31" s="61">
        <v>17926</v>
      </c>
      <c r="C31" s="62" t="s">
        <v>593</v>
      </c>
      <c r="D31" s="62" t="s">
        <v>32</v>
      </c>
      <c r="E31" s="62" t="s">
        <v>370</v>
      </c>
      <c r="F31" s="36" t="s">
        <v>370</v>
      </c>
      <c r="G31" s="62"/>
      <c r="H31" s="62"/>
      <c r="I31" s="70" t="s">
        <v>662</v>
      </c>
      <c r="J31" s="77">
        <v>5</v>
      </c>
      <c r="K31" s="77">
        <v>5</v>
      </c>
      <c r="L31" s="77">
        <v>5</v>
      </c>
      <c r="M31" s="77">
        <v>4</v>
      </c>
      <c r="N31" s="77">
        <v>4</v>
      </c>
      <c r="O31" s="77">
        <v>4</v>
      </c>
      <c r="P31" s="77">
        <v>5</v>
      </c>
      <c r="Q31" s="77">
        <v>5</v>
      </c>
      <c r="R31" s="63">
        <f t="shared" si="4"/>
        <v>4.7</v>
      </c>
      <c r="S31" s="64">
        <f t="shared" si="5"/>
        <v>0.94</v>
      </c>
      <c r="T31" s="65" t="str">
        <f t="shared" si="6"/>
        <v>Grade-A</v>
      </c>
      <c r="U31" s="148">
        <f>IFERROR(VLOOKUP(F31,Database!F:G,2,0),0)</f>
        <v>600</v>
      </c>
      <c r="V31" s="66">
        <v>1</v>
      </c>
      <c r="W31" s="38">
        <f t="shared" si="7"/>
        <v>0.96494559999999996</v>
      </c>
      <c r="X31" s="67">
        <f t="shared" si="8"/>
        <v>550</v>
      </c>
      <c r="Y31" s="66">
        <v>1</v>
      </c>
      <c r="Z31" s="38">
        <f t="shared" si="9"/>
        <v>0.96494559999999996</v>
      </c>
      <c r="AA31" s="67">
        <f t="shared" si="10"/>
        <v>550</v>
      </c>
      <c r="AB31" s="66">
        <v>0.97</v>
      </c>
      <c r="AC31" s="38">
        <f t="shared" si="11"/>
        <v>0.96494559999999996</v>
      </c>
      <c r="AD31" s="67">
        <v>550</v>
      </c>
      <c r="AE31" s="66">
        <v>1</v>
      </c>
      <c r="AF31" s="38">
        <f t="shared" si="13"/>
        <v>0.72181018113207551</v>
      </c>
      <c r="AG31" s="228">
        <f t="shared" si="14"/>
        <v>410</v>
      </c>
    </row>
    <row r="32" spans="1:33" s="8" customFormat="1">
      <c r="A32" s="68">
        <f t="shared" si="0"/>
        <v>25</v>
      </c>
      <c r="B32" s="61">
        <v>6839</v>
      </c>
      <c r="C32" s="62" t="s">
        <v>146</v>
      </c>
      <c r="D32" s="62" t="s">
        <v>32</v>
      </c>
      <c r="E32" s="62" t="s">
        <v>370</v>
      </c>
      <c r="F32" s="36" t="s">
        <v>370</v>
      </c>
      <c r="G32" s="62"/>
      <c r="H32" s="62"/>
      <c r="I32" s="62" t="s">
        <v>360</v>
      </c>
      <c r="J32" s="77">
        <v>4</v>
      </c>
      <c r="K32" s="77">
        <v>5</v>
      </c>
      <c r="L32" s="77">
        <v>5</v>
      </c>
      <c r="M32" s="77">
        <v>5</v>
      </c>
      <c r="N32" s="77">
        <v>5</v>
      </c>
      <c r="O32" s="77">
        <v>5</v>
      </c>
      <c r="P32" s="77">
        <v>5</v>
      </c>
      <c r="Q32" s="77">
        <v>5</v>
      </c>
      <c r="R32" s="63">
        <f t="shared" si="4"/>
        <v>4.7</v>
      </c>
      <c r="S32" s="64">
        <f t="shared" si="5"/>
        <v>0.94000000000000006</v>
      </c>
      <c r="T32" s="65" t="str">
        <f t="shared" si="6"/>
        <v>Grade-A</v>
      </c>
      <c r="U32" s="148">
        <f>IFERROR(VLOOKUP(F32,Database!F:G,2,0),0)</f>
        <v>600</v>
      </c>
      <c r="V32" s="66">
        <v>1</v>
      </c>
      <c r="W32" s="38">
        <f t="shared" si="7"/>
        <v>0.96494559999999996</v>
      </c>
      <c r="X32" s="67">
        <f t="shared" si="8"/>
        <v>550</v>
      </c>
      <c r="Y32" s="66">
        <v>1</v>
      </c>
      <c r="Z32" s="38">
        <f t="shared" si="9"/>
        <v>0.96494559999999996</v>
      </c>
      <c r="AA32" s="67">
        <f t="shared" si="10"/>
        <v>550</v>
      </c>
      <c r="AB32" s="66">
        <v>0.97</v>
      </c>
      <c r="AC32" s="38">
        <f t="shared" si="11"/>
        <v>0.96494559999999996</v>
      </c>
      <c r="AD32" s="67">
        <f t="shared" si="12"/>
        <v>530</v>
      </c>
      <c r="AE32" s="66">
        <v>1</v>
      </c>
      <c r="AF32" s="38">
        <f t="shared" si="13"/>
        <v>0.72181018113207551</v>
      </c>
      <c r="AG32" s="228">
        <f t="shared" si="14"/>
        <v>410</v>
      </c>
    </row>
    <row r="33" spans="1:33" s="8" customFormat="1">
      <c r="A33" s="68">
        <f t="shared" si="0"/>
        <v>26</v>
      </c>
      <c r="B33" s="61">
        <v>21172</v>
      </c>
      <c r="C33" s="62" t="s">
        <v>294</v>
      </c>
      <c r="D33" s="62" t="s">
        <v>255</v>
      </c>
      <c r="E33" s="62" t="s">
        <v>398</v>
      </c>
      <c r="F33" s="36" t="s">
        <v>366</v>
      </c>
      <c r="G33" s="62"/>
      <c r="H33" s="62"/>
      <c r="I33" s="70" t="s">
        <v>360</v>
      </c>
      <c r="J33" s="77">
        <v>5</v>
      </c>
      <c r="K33" s="77">
        <v>5</v>
      </c>
      <c r="L33" s="77">
        <v>5</v>
      </c>
      <c r="M33" s="77">
        <v>5</v>
      </c>
      <c r="N33" s="77">
        <v>4</v>
      </c>
      <c r="O33" s="77">
        <v>4</v>
      </c>
      <c r="P33" s="77">
        <v>4</v>
      </c>
      <c r="Q33" s="77">
        <v>4</v>
      </c>
      <c r="R33" s="63">
        <f t="shared" si="4"/>
        <v>4.7</v>
      </c>
      <c r="S33" s="64">
        <f t="shared" si="5"/>
        <v>0.94</v>
      </c>
      <c r="T33" s="65" t="str">
        <f t="shared" si="6"/>
        <v>Grade-A</v>
      </c>
      <c r="U33" s="148">
        <f>IFERROR(VLOOKUP(F33,Database!F:G,2,0),0)</f>
        <v>1300</v>
      </c>
      <c r="V33" s="66">
        <v>1</v>
      </c>
      <c r="W33" s="38">
        <f t="shared" si="7"/>
        <v>0.96494559999999996</v>
      </c>
      <c r="X33" s="67">
        <f t="shared" si="8"/>
        <v>1180</v>
      </c>
      <c r="Y33" s="66">
        <v>1</v>
      </c>
      <c r="Z33" s="38">
        <f t="shared" si="9"/>
        <v>0.96494559999999996</v>
      </c>
      <c r="AA33" s="67">
        <f t="shared" si="10"/>
        <v>1180</v>
      </c>
      <c r="AB33" s="66">
        <v>1</v>
      </c>
      <c r="AC33" s="38">
        <f t="shared" si="11"/>
        <v>0.96494559999999996</v>
      </c>
      <c r="AD33" s="67">
        <f t="shared" si="12"/>
        <v>1180</v>
      </c>
      <c r="AE33" s="66">
        <v>1</v>
      </c>
      <c r="AF33" s="38">
        <f t="shared" si="13"/>
        <v>0.72181018113207551</v>
      </c>
      <c r="AG33" s="228">
        <f t="shared" si="14"/>
        <v>890</v>
      </c>
    </row>
    <row r="34" spans="1:33">
      <c r="A34" s="60">
        <f t="shared" si="0"/>
        <v>27</v>
      </c>
      <c r="B34" s="61">
        <v>21222</v>
      </c>
      <c r="C34" s="62" t="s">
        <v>585</v>
      </c>
      <c r="D34" s="62" t="s">
        <v>181</v>
      </c>
      <c r="E34" s="62" t="s">
        <v>370</v>
      </c>
      <c r="F34" s="36" t="s">
        <v>370</v>
      </c>
      <c r="G34" s="62"/>
      <c r="H34" s="62"/>
      <c r="I34" s="62" t="s">
        <v>764</v>
      </c>
      <c r="J34" s="77">
        <v>4</v>
      </c>
      <c r="K34" s="77">
        <v>5</v>
      </c>
      <c r="L34" s="77">
        <v>5</v>
      </c>
      <c r="M34" s="77">
        <v>5</v>
      </c>
      <c r="N34" s="77">
        <v>5</v>
      </c>
      <c r="O34" s="77">
        <v>5</v>
      </c>
      <c r="P34" s="77">
        <v>5</v>
      </c>
      <c r="Q34" s="77">
        <v>5</v>
      </c>
      <c r="R34" s="63">
        <f t="shared" si="4"/>
        <v>4.7</v>
      </c>
      <c r="S34" s="64">
        <f t="shared" si="5"/>
        <v>0.94000000000000006</v>
      </c>
      <c r="T34" s="65" t="str">
        <f t="shared" si="6"/>
        <v>Grade-A</v>
      </c>
      <c r="U34" s="148">
        <f>IFERROR(VLOOKUP(F34,Database!F:G,2,0),0)</f>
        <v>600</v>
      </c>
      <c r="V34" s="66">
        <v>0.97</v>
      </c>
      <c r="W34" s="38">
        <f t="shared" si="7"/>
        <v>0.96494559999999996</v>
      </c>
      <c r="X34" s="67">
        <f t="shared" si="8"/>
        <v>530</v>
      </c>
      <c r="Y34" s="66">
        <v>0.9</v>
      </c>
      <c r="Z34" s="38">
        <f t="shared" si="9"/>
        <v>0.96494559999999996</v>
      </c>
      <c r="AA34" s="67">
        <f t="shared" si="10"/>
        <v>490</v>
      </c>
      <c r="AB34" s="66">
        <v>1</v>
      </c>
      <c r="AC34" s="38">
        <f t="shared" si="11"/>
        <v>0.96494559999999996</v>
      </c>
      <c r="AD34" s="67">
        <f t="shared" si="12"/>
        <v>550</v>
      </c>
      <c r="AE34" s="66">
        <v>0.26</v>
      </c>
      <c r="AF34" s="38">
        <f t="shared" si="13"/>
        <v>0.72181018113207551</v>
      </c>
      <c r="AG34" s="228">
        <f t="shared" si="14"/>
        <v>110</v>
      </c>
    </row>
    <row r="35" spans="1:33" s="41" customFormat="1">
      <c r="A35" s="68">
        <f t="shared" si="0"/>
        <v>28</v>
      </c>
      <c r="B35" s="69">
        <v>15824</v>
      </c>
      <c r="C35" s="70" t="s">
        <v>147</v>
      </c>
      <c r="D35" s="70" t="s">
        <v>32</v>
      </c>
      <c r="E35" s="70" t="s">
        <v>370</v>
      </c>
      <c r="F35" s="83" t="s">
        <v>370</v>
      </c>
      <c r="G35" s="70"/>
      <c r="H35" s="70"/>
      <c r="I35" s="62" t="s">
        <v>360</v>
      </c>
      <c r="J35" s="71">
        <v>5</v>
      </c>
      <c r="K35" s="71">
        <v>5</v>
      </c>
      <c r="L35" s="71">
        <v>5</v>
      </c>
      <c r="M35" s="71">
        <v>4</v>
      </c>
      <c r="N35" s="71">
        <v>5</v>
      </c>
      <c r="O35" s="71">
        <v>5</v>
      </c>
      <c r="P35" s="71">
        <v>5</v>
      </c>
      <c r="Q35" s="71">
        <v>4</v>
      </c>
      <c r="R35" s="63">
        <f t="shared" si="4"/>
        <v>4.8500000000000005</v>
      </c>
      <c r="S35" s="64">
        <f t="shared" si="5"/>
        <v>0.97</v>
      </c>
      <c r="T35" s="65" t="str">
        <f t="shared" si="6"/>
        <v>Grade-A</v>
      </c>
      <c r="U35" s="147">
        <f>IFERROR(VLOOKUP(F35,Database!F:G,2,0),0)</f>
        <v>600</v>
      </c>
      <c r="V35" s="90">
        <v>1</v>
      </c>
      <c r="W35" s="75">
        <f t="shared" si="7"/>
        <v>0.96494559999999996</v>
      </c>
      <c r="X35" s="76">
        <f t="shared" si="8"/>
        <v>570</v>
      </c>
      <c r="Y35" s="90">
        <v>0.1</v>
      </c>
      <c r="Z35" s="75">
        <f t="shared" si="9"/>
        <v>0.96494559999999996</v>
      </c>
      <c r="AA35" s="76">
        <f t="shared" si="10"/>
        <v>60</v>
      </c>
      <c r="AB35" s="90">
        <v>1</v>
      </c>
      <c r="AC35" s="75">
        <f t="shared" si="11"/>
        <v>0.96494559999999996</v>
      </c>
      <c r="AD35" s="76">
        <f t="shared" si="12"/>
        <v>570</v>
      </c>
      <c r="AE35" s="90">
        <v>1</v>
      </c>
      <c r="AF35" s="75">
        <f t="shared" si="13"/>
        <v>0.72181018113207551</v>
      </c>
      <c r="AG35" s="229">
        <f t="shared" si="14"/>
        <v>430</v>
      </c>
    </row>
    <row r="36" spans="1:33" s="41" customFormat="1">
      <c r="A36" s="68">
        <f t="shared" si="0"/>
        <v>29</v>
      </c>
      <c r="B36" s="69">
        <v>1550</v>
      </c>
      <c r="C36" s="70" t="s">
        <v>152</v>
      </c>
      <c r="D36" s="70" t="s">
        <v>32</v>
      </c>
      <c r="E36" s="70" t="s">
        <v>370</v>
      </c>
      <c r="F36" s="83" t="s">
        <v>375</v>
      </c>
      <c r="G36" s="70"/>
      <c r="H36" s="70"/>
      <c r="I36" s="62" t="s">
        <v>360</v>
      </c>
      <c r="J36" s="71">
        <v>4</v>
      </c>
      <c r="K36" s="71">
        <v>5</v>
      </c>
      <c r="L36" s="71">
        <v>5</v>
      </c>
      <c r="M36" s="71">
        <v>4</v>
      </c>
      <c r="N36" s="71">
        <v>5</v>
      </c>
      <c r="O36" s="71">
        <v>4</v>
      </c>
      <c r="P36" s="71">
        <v>5</v>
      </c>
      <c r="Q36" s="71">
        <v>4</v>
      </c>
      <c r="R36" s="63">
        <f t="shared" si="4"/>
        <v>4.45</v>
      </c>
      <c r="S36" s="64">
        <f t="shared" si="5"/>
        <v>0.89</v>
      </c>
      <c r="T36" s="65" t="str">
        <f t="shared" si="6"/>
        <v>Grade-B</v>
      </c>
      <c r="U36" s="147">
        <f>IFERROR(VLOOKUP(F36,Database!F:G,2,0),0)</f>
        <v>800</v>
      </c>
      <c r="V36" s="90">
        <v>1</v>
      </c>
      <c r="W36" s="75">
        <f t="shared" si="7"/>
        <v>0.96494559999999996</v>
      </c>
      <c r="X36" s="76">
        <f t="shared" si="8"/>
        <v>690</v>
      </c>
      <c r="Y36" s="90">
        <v>0.26</v>
      </c>
      <c r="Z36" s="75">
        <f t="shared" si="9"/>
        <v>0.96494559999999996</v>
      </c>
      <c r="AA36" s="76">
        <f t="shared" si="10"/>
        <v>180</v>
      </c>
      <c r="AB36" s="90">
        <v>1</v>
      </c>
      <c r="AC36" s="75">
        <f t="shared" si="11"/>
        <v>0.96494559999999996</v>
      </c>
      <c r="AD36" s="76">
        <f t="shared" si="12"/>
        <v>690</v>
      </c>
      <c r="AE36" s="90">
        <v>1</v>
      </c>
      <c r="AF36" s="75">
        <f t="shared" si="13"/>
        <v>0.72181018113207551</v>
      </c>
      <c r="AG36" s="229">
        <f t="shared" si="14"/>
        <v>520</v>
      </c>
    </row>
    <row r="37" spans="1:33" s="8" customFormat="1">
      <c r="A37" s="60">
        <f t="shared" si="0"/>
        <v>30</v>
      </c>
      <c r="B37" s="61">
        <v>11258</v>
      </c>
      <c r="C37" s="62" t="s">
        <v>603</v>
      </c>
      <c r="D37" s="62" t="s">
        <v>174</v>
      </c>
      <c r="E37" s="62" t="s">
        <v>376</v>
      </c>
      <c r="F37" s="36" t="s">
        <v>375</v>
      </c>
      <c r="G37" s="62"/>
      <c r="H37" s="62"/>
      <c r="I37" s="62" t="s">
        <v>360</v>
      </c>
      <c r="J37" s="77">
        <v>4</v>
      </c>
      <c r="K37" s="77">
        <v>5</v>
      </c>
      <c r="L37" s="77">
        <v>4</v>
      </c>
      <c r="M37" s="77">
        <v>5</v>
      </c>
      <c r="N37" s="77">
        <v>5</v>
      </c>
      <c r="O37" s="77">
        <v>5</v>
      </c>
      <c r="P37" s="77">
        <v>4</v>
      </c>
      <c r="Q37" s="77">
        <v>4</v>
      </c>
      <c r="R37" s="63">
        <f t="shared" si="4"/>
        <v>4.5</v>
      </c>
      <c r="S37" s="64">
        <f t="shared" si="5"/>
        <v>0.9</v>
      </c>
      <c r="T37" s="65" t="str">
        <f t="shared" si="6"/>
        <v>Grade-A</v>
      </c>
      <c r="U37" s="148">
        <f>IFERROR(VLOOKUP(F37,Database!F:G,2,0),0)</f>
        <v>800</v>
      </c>
      <c r="V37" s="66">
        <v>1</v>
      </c>
      <c r="W37" s="38">
        <f t="shared" si="7"/>
        <v>0.96494559999999996</v>
      </c>
      <c r="X37" s="67">
        <f t="shared" si="8"/>
        <v>700</v>
      </c>
      <c r="Y37" s="66">
        <v>1</v>
      </c>
      <c r="Z37" s="38">
        <f t="shared" si="9"/>
        <v>0.96494559999999996</v>
      </c>
      <c r="AA37" s="67">
        <f t="shared" si="10"/>
        <v>700</v>
      </c>
      <c r="AB37" s="66">
        <v>0.97</v>
      </c>
      <c r="AC37" s="38">
        <f t="shared" si="11"/>
        <v>0.96494559999999996</v>
      </c>
      <c r="AD37" s="67">
        <f t="shared" si="12"/>
        <v>680</v>
      </c>
      <c r="AE37" s="66">
        <v>1</v>
      </c>
      <c r="AF37" s="38">
        <f t="shared" si="13"/>
        <v>0.72181018113207551</v>
      </c>
      <c r="AG37" s="228">
        <f t="shared" si="14"/>
        <v>520</v>
      </c>
    </row>
    <row r="38" spans="1:33" s="8" customFormat="1">
      <c r="A38" s="68">
        <f t="shared" si="0"/>
        <v>31</v>
      </c>
      <c r="B38" s="290">
        <v>3919</v>
      </c>
      <c r="C38" s="291" t="s">
        <v>604</v>
      </c>
      <c r="D38" s="291" t="s">
        <v>174</v>
      </c>
      <c r="E38" s="291" t="s">
        <v>376</v>
      </c>
      <c r="F38" s="250" t="s">
        <v>375</v>
      </c>
      <c r="G38" s="291"/>
      <c r="H38" s="291"/>
      <c r="I38" s="291" t="s">
        <v>787</v>
      </c>
      <c r="J38" s="323">
        <v>5</v>
      </c>
      <c r="K38" s="323">
        <v>5</v>
      </c>
      <c r="L38" s="323">
        <v>4</v>
      </c>
      <c r="M38" s="323">
        <v>5</v>
      </c>
      <c r="N38" s="323">
        <v>5</v>
      </c>
      <c r="O38" s="323">
        <v>5</v>
      </c>
      <c r="P38" s="323">
        <v>5</v>
      </c>
      <c r="Q38" s="323">
        <v>5</v>
      </c>
      <c r="R38" s="292">
        <f t="shared" si="4"/>
        <v>4.9000000000000004</v>
      </c>
      <c r="S38" s="293">
        <f t="shared" si="5"/>
        <v>0.98</v>
      </c>
      <c r="T38" s="294" t="str">
        <f t="shared" si="6"/>
        <v>Grade-A</v>
      </c>
      <c r="U38" s="324">
        <f>IFERROR(VLOOKUP(F38,Database!F:G,2,0),0)</f>
        <v>800</v>
      </c>
      <c r="V38" s="296">
        <v>1</v>
      </c>
      <c r="W38" s="325">
        <f t="shared" si="7"/>
        <v>0.96494559999999996</v>
      </c>
      <c r="X38" s="298">
        <f t="shared" si="8"/>
        <v>760</v>
      </c>
      <c r="Y38" s="296">
        <v>1</v>
      </c>
      <c r="Z38" s="325">
        <f t="shared" si="9"/>
        <v>0.96494559999999996</v>
      </c>
      <c r="AA38" s="298">
        <f t="shared" si="10"/>
        <v>760</v>
      </c>
      <c r="AB38" s="296">
        <v>1</v>
      </c>
      <c r="AC38" s="325">
        <f t="shared" si="11"/>
        <v>0.96494559999999996</v>
      </c>
      <c r="AD38" s="298">
        <f t="shared" si="12"/>
        <v>760</v>
      </c>
      <c r="AE38" s="296">
        <v>0.32</v>
      </c>
      <c r="AF38" s="325">
        <f t="shared" si="13"/>
        <v>0.72181018113207551</v>
      </c>
      <c r="AG38" s="299">
        <f t="shared" si="14"/>
        <v>190</v>
      </c>
    </row>
    <row r="39" spans="1:33">
      <c r="A39" s="68">
        <f t="shared" si="0"/>
        <v>32</v>
      </c>
      <c r="B39" s="61">
        <v>3743</v>
      </c>
      <c r="C39" s="62" t="s">
        <v>606</v>
      </c>
      <c r="D39" s="62" t="s">
        <v>174</v>
      </c>
      <c r="E39" s="62" t="s">
        <v>376</v>
      </c>
      <c r="F39" s="36" t="s">
        <v>380</v>
      </c>
      <c r="G39" s="62"/>
      <c r="H39" s="62"/>
      <c r="I39" s="62" t="s">
        <v>360</v>
      </c>
      <c r="J39" s="77">
        <v>5</v>
      </c>
      <c r="K39" s="77">
        <v>5</v>
      </c>
      <c r="L39" s="77">
        <v>5</v>
      </c>
      <c r="M39" s="77">
        <v>5</v>
      </c>
      <c r="N39" s="77">
        <v>5</v>
      </c>
      <c r="O39" s="77">
        <v>4</v>
      </c>
      <c r="P39" s="77">
        <v>5</v>
      </c>
      <c r="Q39" s="77">
        <v>5</v>
      </c>
      <c r="R39" s="63">
        <f t="shared" si="4"/>
        <v>4.9000000000000004</v>
      </c>
      <c r="S39" s="64">
        <f t="shared" si="5"/>
        <v>0.98</v>
      </c>
      <c r="T39" s="65" t="str">
        <f t="shared" si="6"/>
        <v>Grade-A</v>
      </c>
      <c r="U39" s="148">
        <f>IFERROR(VLOOKUP(F39,Database!F:G,2,0),0)</f>
        <v>900</v>
      </c>
      <c r="V39" s="66">
        <v>1</v>
      </c>
      <c r="W39" s="38">
        <f t="shared" si="7"/>
        <v>0.96494559999999996</v>
      </c>
      <c r="X39" s="67">
        <f t="shared" si="8"/>
        <v>860</v>
      </c>
      <c r="Y39" s="66">
        <v>1</v>
      </c>
      <c r="Z39" s="38">
        <f t="shared" si="9"/>
        <v>0.96494559999999996</v>
      </c>
      <c r="AA39" s="67">
        <f t="shared" si="10"/>
        <v>860</v>
      </c>
      <c r="AB39" s="66">
        <v>1</v>
      </c>
      <c r="AC39" s="38">
        <f t="shared" si="11"/>
        <v>0.96494559999999996</v>
      </c>
      <c r="AD39" s="67">
        <f t="shared" si="12"/>
        <v>860</v>
      </c>
      <c r="AE39" s="66">
        <v>1</v>
      </c>
      <c r="AF39" s="38">
        <f t="shared" si="13"/>
        <v>0.72181018113207551</v>
      </c>
      <c r="AG39" s="228">
        <f t="shared" si="14"/>
        <v>640</v>
      </c>
    </row>
    <row r="40" spans="1:33" s="8" customFormat="1">
      <c r="A40" s="60">
        <f t="shared" si="0"/>
        <v>33</v>
      </c>
      <c r="B40" s="61">
        <v>2172</v>
      </c>
      <c r="C40" s="62" t="s">
        <v>607</v>
      </c>
      <c r="D40" s="62" t="s">
        <v>174</v>
      </c>
      <c r="E40" s="62" t="s">
        <v>376</v>
      </c>
      <c r="F40" s="36" t="s">
        <v>380</v>
      </c>
      <c r="G40" s="62"/>
      <c r="H40" s="62"/>
      <c r="I40" s="62" t="s">
        <v>360</v>
      </c>
      <c r="J40" s="77">
        <v>5</v>
      </c>
      <c r="K40" s="77">
        <v>5</v>
      </c>
      <c r="L40" s="77">
        <v>4</v>
      </c>
      <c r="M40" s="77">
        <v>5</v>
      </c>
      <c r="N40" s="77">
        <v>5</v>
      </c>
      <c r="O40" s="77">
        <v>4</v>
      </c>
      <c r="P40" s="77">
        <v>5</v>
      </c>
      <c r="Q40" s="77">
        <v>5</v>
      </c>
      <c r="R40" s="63">
        <f t="shared" si="4"/>
        <v>4.8</v>
      </c>
      <c r="S40" s="64">
        <f t="shared" si="5"/>
        <v>0.96</v>
      </c>
      <c r="T40" s="65" t="str">
        <f t="shared" si="6"/>
        <v>Grade-A</v>
      </c>
      <c r="U40" s="148">
        <f>IFERROR(VLOOKUP(F40,Database!F:G,2,0),0)</f>
        <v>900</v>
      </c>
      <c r="V40" s="66">
        <v>1</v>
      </c>
      <c r="W40" s="38">
        <f t="shared" si="7"/>
        <v>0.96494559999999996</v>
      </c>
      <c r="X40" s="67">
        <f t="shared" si="8"/>
        <v>840</v>
      </c>
      <c r="Y40" s="66">
        <v>0.19</v>
      </c>
      <c r="Z40" s="38">
        <f t="shared" si="9"/>
        <v>0.96494559999999996</v>
      </c>
      <c r="AA40" s="67">
        <f t="shared" si="10"/>
        <v>160</v>
      </c>
      <c r="AB40" s="66">
        <v>1</v>
      </c>
      <c r="AC40" s="38">
        <f t="shared" si="11"/>
        <v>0.96494559999999996</v>
      </c>
      <c r="AD40" s="67">
        <f t="shared" si="12"/>
        <v>840</v>
      </c>
      <c r="AE40" s="66">
        <v>1</v>
      </c>
      <c r="AF40" s="38">
        <f t="shared" si="13"/>
        <v>0.72181018113207551</v>
      </c>
      <c r="AG40" s="228">
        <f t="shared" si="14"/>
        <v>630</v>
      </c>
    </row>
    <row r="41" spans="1:33">
      <c r="A41" s="68">
        <f t="shared" si="0"/>
        <v>34</v>
      </c>
      <c r="B41" s="69">
        <v>16266</v>
      </c>
      <c r="C41" s="70" t="s">
        <v>609</v>
      </c>
      <c r="D41" s="70" t="s">
        <v>174</v>
      </c>
      <c r="E41" s="70" t="s">
        <v>376</v>
      </c>
      <c r="F41" s="83" t="s">
        <v>375</v>
      </c>
      <c r="G41" s="70"/>
      <c r="H41" s="70"/>
      <c r="I41" s="70" t="s">
        <v>360</v>
      </c>
      <c r="J41" s="71">
        <v>2</v>
      </c>
      <c r="K41" s="71">
        <v>4</v>
      </c>
      <c r="L41" s="71">
        <v>4</v>
      </c>
      <c r="M41" s="71">
        <v>4</v>
      </c>
      <c r="N41" s="71">
        <v>4</v>
      </c>
      <c r="O41" s="71">
        <v>4</v>
      </c>
      <c r="P41" s="71">
        <v>5</v>
      </c>
      <c r="Q41" s="71">
        <v>2</v>
      </c>
      <c r="R41" s="63">
        <f t="shared" si="4"/>
        <v>3.3499999999999996</v>
      </c>
      <c r="S41" s="64">
        <f t="shared" si="5"/>
        <v>0.67</v>
      </c>
      <c r="T41" s="65" t="str">
        <f t="shared" si="6"/>
        <v>Grade-B</v>
      </c>
      <c r="U41" s="147">
        <f>IFERROR(VLOOKUP(F41,Database!F:G,2,0),0)</f>
        <v>800</v>
      </c>
      <c r="V41" s="90">
        <v>1</v>
      </c>
      <c r="W41" s="75">
        <f t="shared" si="7"/>
        <v>0.96494559999999996</v>
      </c>
      <c r="X41" s="76">
        <f t="shared" si="8"/>
        <v>520</v>
      </c>
      <c r="Y41" s="90">
        <v>1</v>
      </c>
      <c r="Z41" s="75">
        <f t="shared" si="9"/>
        <v>0.96494559999999996</v>
      </c>
      <c r="AA41" s="76">
        <f t="shared" si="10"/>
        <v>520</v>
      </c>
      <c r="AB41" s="90">
        <v>1</v>
      </c>
      <c r="AC41" s="75">
        <f t="shared" si="11"/>
        <v>0.96494559999999996</v>
      </c>
      <c r="AD41" s="76">
        <f t="shared" si="12"/>
        <v>520</v>
      </c>
      <c r="AE41" s="90">
        <v>1</v>
      </c>
      <c r="AF41" s="75">
        <f t="shared" si="13"/>
        <v>0.72181018113207551</v>
      </c>
      <c r="AG41" s="229">
        <f t="shared" si="14"/>
        <v>390</v>
      </c>
    </row>
    <row r="42" spans="1:33">
      <c r="A42" s="68">
        <f t="shared" si="0"/>
        <v>35</v>
      </c>
      <c r="B42" s="61">
        <v>2124</v>
      </c>
      <c r="C42" s="62" t="s">
        <v>262</v>
      </c>
      <c r="D42" s="62" t="s">
        <v>240</v>
      </c>
      <c r="E42" s="62"/>
      <c r="F42" s="36" t="s">
        <v>400</v>
      </c>
      <c r="G42" s="62" t="s">
        <v>400</v>
      </c>
      <c r="H42" s="62"/>
      <c r="I42" s="62" t="s">
        <v>360</v>
      </c>
      <c r="J42" s="36">
        <v>5</v>
      </c>
      <c r="K42" s="36">
        <v>4</v>
      </c>
      <c r="L42" s="36">
        <v>5</v>
      </c>
      <c r="M42" s="36">
        <v>5</v>
      </c>
      <c r="N42" s="36">
        <v>5</v>
      </c>
      <c r="O42" s="36">
        <v>5</v>
      </c>
      <c r="P42" s="36">
        <v>4</v>
      </c>
      <c r="Q42" s="36">
        <v>5</v>
      </c>
      <c r="R42" s="63">
        <f t="shared" si="4"/>
        <v>4.75</v>
      </c>
      <c r="S42" s="64">
        <f t="shared" si="5"/>
        <v>0.95</v>
      </c>
      <c r="T42" s="65" t="str">
        <f t="shared" si="6"/>
        <v>Grade-A</v>
      </c>
      <c r="U42" s="148">
        <f>IFERROR(VLOOKUP(F42,Database!F:G,2,0),0)</f>
        <v>800</v>
      </c>
      <c r="V42" s="66">
        <v>1</v>
      </c>
      <c r="W42" s="38">
        <f t="shared" si="7"/>
        <v>0.96494559999999996</v>
      </c>
      <c r="X42" s="67">
        <f t="shared" si="8"/>
        <v>740</v>
      </c>
      <c r="Y42" s="66">
        <v>1</v>
      </c>
      <c r="Z42" s="38">
        <f t="shared" si="9"/>
        <v>0.96494559999999996</v>
      </c>
      <c r="AA42" s="67">
        <f t="shared" si="10"/>
        <v>740</v>
      </c>
      <c r="AB42" s="66">
        <v>1</v>
      </c>
      <c r="AC42" s="38">
        <f t="shared" si="11"/>
        <v>0.96494559999999996</v>
      </c>
      <c r="AD42" s="67">
        <f t="shared" si="12"/>
        <v>740</v>
      </c>
      <c r="AE42" s="66">
        <v>1</v>
      </c>
      <c r="AF42" s="38">
        <f t="shared" si="13"/>
        <v>0.72181018113207551</v>
      </c>
      <c r="AG42" s="228">
        <f t="shared" si="14"/>
        <v>550</v>
      </c>
    </row>
    <row r="43" spans="1:33">
      <c r="A43" s="60">
        <f t="shared" si="0"/>
        <v>36</v>
      </c>
      <c r="B43" s="69">
        <v>7064</v>
      </c>
      <c r="C43" s="70" t="s">
        <v>148</v>
      </c>
      <c r="D43" s="70" t="s">
        <v>173</v>
      </c>
      <c r="E43" s="70"/>
      <c r="F43" s="83" t="s">
        <v>400</v>
      </c>
      <c r="G43" s="70" t="s">
        <v>400</v>
      </c>
      <c r="H43" s="70"/>
      <c r="I43" s="62" t="s">
        <v>360</v>
      </c>
      <c r="J43" s="83">
        <v>5</v>
      </c>
      <c r="K43" s="83">
        <v>4</v>
      </c>
      <c r="L43" s="83">
        <v>5</v>
      </c>
      <c r="M43" s="83">
        <v>5</v>
      </c>
      <c r="N43" s="83">
        <v>5</v>
      </c>
      <c r="O43" s="83">
        <v>5</v>
      </c>
      <c r="P43" s="83">
        <v>5</v>
      </c>
      <c r="Q43" s="83">
        <v>4</v>
      </c>
      <c r="R43" s="63">
        <f t="shared" si="4"/>
        <v>4.75</v>
      </c>
      <c r="S43" s="64">
        <f t="shared" si="5"/>
        <v>0.95</v>
      </c>
      <c r="T43" s="65" t="str">
        <f t="shared" si="6"/>
        <v>Grade-A</v>
      </c>
      <c r="U43" s="147">
        <f>IFERROR(VLOOKUP(F43,Database!F:G,2,0),0)</f>
        <v>800</v>
      </c>
      <c r="V43" s="90">
        <v>0.7</v>
      </c>
      <c r="W43" s="75">
        <f t="shared" si="7"/>
        <v>0.96494559999999996</v>
      </c>
      <c r="X43" s="76">
        <f t="shared" si="8"/>
        <v>520</v>
      </c>
      <c r="Y43" s="90">
        <v>0</v>
      </c>
      <c r="Z43" s="75">
        <f t="shared" si="9"/>
        <v>0.96494559999999996</v>
      </c>
      <c r="AA43" s="76">
        <f t="shared" si="10"/>
        <v>0</v>
      </c>
      <c r="AB43" s="90">
        <v>0.9</v>
      </c>
      <c r="AC43" s="75">
        <f t="shared" si="11"/>
        <v>0.96494559999999996</v>
      </c>
      <c r="AD43" s="76">
        <f t="shared" si="12"/>
        <v>670</v>
      </c>
      <c r="AE43" s="90">
        <v>1</v>
      </c>
      <c r="AF43" s="75">
        <f t="shared" si="13"/>
        <v>0.72181018113207551</v>
      </c>
      <c r="AG43" s="229">
        <f t="shared" si="14"/>
        <v>550</v>
      </c>
    </row>
    <row r="44" spans="1:33">
      <c r="A44" s="68">
        <f t="shared" si="0"/>
        <v>37</v>
      </c>
      <c r="B44" s="69">
        <v>7799</v>
      </c>
      <c r="C44" s="70" t="s">
        <v>149</v>
      </c>
      <c r="D44" s="70" t="s">
        <v>173</v>
      </c>
      <c r="E44" s="70"/>
      <c r="F44" s="36" t="s">
        <v>380</v>
      </c>
      <c r="G44" s="70" t="s">
        <v>400</v>
      </c>
      <c r="H44" s="70"/>
      <c r="I44" s="62" t="s">
        <v>360</v>
      </c>
      <c r="J44" s="83">
        <v>5</v>
      </c>
      <c r="K44" s="83">
        <v>5</v>
      </c>
      <c r="L44" s="83">
        <v>4</v>
      </c>
      <c r="M44" s="83">
        <v>5</v>
      </c>
      <c r="N44" s="83">
        <v>5</v>
      </c>
      <c r="O44" s="83">
        <v>5</v>
      </c>
      <c r="P44" s="83">
        <v>5</v>
      </c>
      <c r="Q44" s="83">
        <v>5</v>
      </c>
      <c r="R44" s="63">
        <f t="shared" si="4"/>
        <v>4.9000000000000004</v>
      </c>
      <c r="S44" s="64">
        <f t="shared" si="5"/>
        <v>0.98</v>
      </c>
      <c r="T44" s="65" t="str">
        <f t="shared" si="6"/>
        <v>Grade-A</v>
      </c>
      <c r="U44" s="148">
        <f>IFERROR(VLOOKUP(F44,Database!F:G,2,0),0)</f>
        <v>900</v>
      </c>
      <c r="V44" s="90">
        <v>1</v>
      </c>
      <c r="W44" s="75">
        <f t="shared" si="7"/>
        <v>0.96494559999999996</v>
      </c>
      <c r="X44" s="76">
        <f t="shared" si="8"/>
        <v>860</v>
      </c>
      <c r="Y44" s="90">
        <v>1</v>
      </c>
      <c r="Z44" s="75">
        <f t="shared" si="9"/>
        <v>0.96494559999999996</v>
      </c>
      <c r="AA44" s="76">
        <f t="shared" si="10"/>
        <v>860</v>
      </c>
      <c r="AB44" s="90">
        <v>1</v>
      </c>
      <c r="AC44" s="75">
        <f t="shared" si="11"/>
        <v>0.96494559999999996</v>
      </c>
      <c r="AD44" s="76">
        <f t="shared" si="12"/>
        <v>860</v>
      </c>
      <c r="AE44" s="90">
        <v>1</v>
      </c>
      <c r="AF44" s="75">
        <f t="shared" si="13"/>
        <v>0.72181018113207551</v>
      </c>
      <c r="AG44" s="229">
        <f t="shared" si="14"/>
        <v>640</v>
      </c>
    </row>
    <row r="45" spans="1:33" s="8" customFormat="1">
      <c r="A45" s="68">
        <f t="shared" si="0"/>
        <v>38</v>
      </c>
      <c r="B45" s="61">
        <v>7631</v>
      </c>
      <c r="C45" s="62" t="s">
        <v>594</v>
      </c>
      <c r="D45" s="62" t="s">
        <v>173</v>
      </c>
      <c r="E45" s="62"/>
      <c r="F45" s="36" t="s">
        <v>400</v>
      </c>
      <c r="G45" s="62" t="s">
        <v>400</v>
      </c>
      <c r="H45" s="62"/>
      <c r="I45" s="62" t="s">
        <v>360</v>
      </c>
      <c r="J45" s="36">
        <v>5</v>
      </c>
      <c r="K45" s="36">
        <v>5</v>
      </c>
      <c r="L45" s="36">
        <v>4</v>
      </c>
      <c r="M45" s="36">
        <v>4</v>
      </c>
      <c r="N45" s="36">
        <v>5</v>
      </c>
      <c r="O45" s="36">
        <v>5</v>
      </c>
      <c r="P45" s="36">
        <v>4</v>
      </c>
      <c r="Q45" s="36">
        <v>5</v>
      </c>
      <c r="R45" s="63">
        <f t="shared" si="4"/>
        <v>4.75</v>
      </c>
      <c r="S45" s="64">
        <f t="shared" si="5"/>
        <v>0.95</v>
      </c>
      <c r="T45" s="65" t="str">
        <f t="shared" si="6"/>
        <v>Grade-A</v>
      </c>
      <c r="U45" s="148">
        <f>IFERROR(VLOOKUP(F45,Database!F:G,2,0),0)</f>
        <v>800</v>
      </c>
      <c r="V45" s="66">
        <v>1</v>
      </c>
      <c r="W45" s="38">
        <f t="shared" si="7"/>
        <v>0.96494559999999996</v>
      </c>
      <c r="X45" s="67">
        <f t="shared" si="8"/>
        <v>740</v>
      </c>
      <c r="Y45" s="66">
        <v>1</v>
      </c>
      <c r="Z45" s="38">
        <f t="shared" si="9"/>
        <v>0.96494559999999996</v>
      </c>
      <c r="AA45" s="67">
        <f t="shared" si="10"/>
        <v>740</v>
      </c>
      <c r="AB45" s="66">
        <v>1</v>
      </c>
      <c r="AC45" s="38">
        <f t="shared" si="11"/>
        <v>0.96494559999999996</v>
      </c>
      <c r="AD45" s="67">
        <f t="shared" si="12"/>
        <v>740</v>
      </c>
      <c r="AE45" s="66">
        <v>1</v>
      </c>
      <c r="AF45" s="38">
        <f t="shared" si="13"/>
        <v>0.72181018113207551</v>
      </c>
      <c r="AG45" s="228">
        <f t="shared" si="14"/>
        <v>550</v>
      </c>
    </row>
    <row r="46" spans="1:33">
      <c r="A46" s="60">
        <f t="shared" si="0"/>
        <v>39</v>
      </c>
      <c r="B46" s="290">
        <v>7332</v>
      </c>
      <c r="C46" s="291" t="s">
        <v>595</v>
      </c>
      <c r="D46" s="291" t="s">
        <v>173</v>
      </c>
      <c r="E46" s="291"/>
      <c r="F46" s="250" t="s">
        <v>380</v>
      </c>
      <c r="G46" s="291" t="s">
        <v>400</v>
      </c>
      <c r="H46" s="291"/>
      <c r="I46" s="291" t="s">
        <v>784</v>
      </c>
      <c r="J46" s="250">
        <v>5</v>
      </c>
      <c r="K46" s="250">
        <v>5</v>
      </c>
      <c r="L46" s="250">
        <v>4</v>
      </c>
      <c r="M46" s="250">
        <v>5</v>
      </c>
      <c r="N46" s="250">
        <v>5</v>
      </c>
      <c r="O46" s="250">
        <v>5</v>
      </c>
      <c r="P46" s="250">
        <v>5</v>
      </c>
      <c r="Q46" s="250">
        <v>5</v>
      </c>
      <c r="R46" s="292">
        <f t="shared" si="4"/>
        <v>4.9000000000000004</v>
      </c>
      <c r="S46" s="293">
        <f t="shared" si="5"/>
        <v>0.98</v>
      </c>
      <c r="T46" s="294" t="str">
        <f t="shared" si="6"/>
        <v>Grade-A</v>
      </c>
      <c r="U46" s="324">
        <f>IFERROR(VLOOKUP(F46,Database!F:G,2,0),0)</f>
        <v>900</v>
      </c>
      <c r="V46" s="296">
        <v>1</v>
      </c>
      <c r="W46" s="325">
        <f t="shared" si="7"/>
        <v>0.96494559999999996</v>
      </c>
      <c r="X46" s="298">
        <f t="shared" si="8"/>
        <v>860</v>
      </c>
      <c r="Y46" s="296">
        <v>1</v>
      </c>
      <c r="Z46" s="325">
        <f t="shared" si="9"/>
        <v>0.96494559999999996</v>
      </c>
      <c r="AA46" s="298">
        <f t="shared" si="10"/>
        <v>860</v>
      </c>
      <c r="AB46" s="296">
        <v>1</v>
      </c>
      <c r="AC46" s="325">
        <f t="shared" si="11"/>
        <v>0.96494559999999996</v>
      </c>
      <c r="AD46" s="298">
        <f t="shared" si="12"/>
        <v>860</v>
      </c>
      <c r="AE46" s="296">
        <v>0.19</v>
      </c>
      <c r="AF46" s="325">
        <f t="shared" si="13"/>
        <v>0.72181018113207551</v>
      </c>
      <c r="AG46" s="299">
        <f t="shared" si="14"/>
        <v>130</v>
      </c>
    </row>
    <row r="47" spans="1:33" s="8" customFormat="1">
      <c r="A47" s="68">
        <f t="shared" si="0"/>
        <v>40</v>
      </c>
      <c r="B47" s="61">
        <v>8106</v>
      </c>
      <c r="C47" s="62" t="s">
        <v>596</v>
      </c>
      <c r="D47" s="62" t="s">
        <v>173</v>
      </c>
      <c r="E47" s="62"/>
      <c r="F47" s="36" t="s">
        <v>380</v>
      </c>
      <c r="G47" s="62" t="s">
        <v>400</v>
      </c>
      <c r="H47" s="62"/>
      <c r="I47" s="62" t="s">
        <v>360</v>
      </c>
      <c r="J47" s="36">
        <v>5</v>
      </c>
      <c r="K47" s="36">
        <v>4</v>
      </c>
      <c r="L47" s="36">
        <v>5</v>
      </c>
      <c r="M47" s="36">
        <v>5</v>
      </c>
      <c r="N47" s="36">
        <v>4</v>
      </c>
      <c r="O47" s="36">
        <v>5</v>
      </c>
      <c r="P47" s="36">
        <v>5</v>
      </c>
      <c r="Q47" s="36">
        <v>5</v>
      </c>
      <c r="R47" s="63">
        <f t="shared" si="4"/>
        <v>4.6999999999999993</v>
      </c>
      <c r="S47" s="64">
        <f t="shared" si="5"/>
        <v>0.94</v>
      </c>
      <c r="T47" s="65" t="str">
        <f t="shared" si="6"/>
        <v>Grade-A</v>
      </c>
      <c r="U47" s="148">
        <f>IFERROR(VLOOKUP(F47,Database!F:G,2,0),0)</f>
        <v>900</v>
      </c>
      <c r="V47" s="66">
        <v>1</v>
      </c>
      <c r="W47" s="38">
        <f t="shared" si="7"/>
        <v>0.96494559999999996</v>
      </c>
      <c r="X47" s="67">
        <f t="shared" si="8"/>
        <v>820</v>
      </c>
      <c r="Y47" s="66">
        <v>1</v>
      </c>
      <c r="Z47" s="38">
        <f t="shared" si="9"/>
        <v>0.96494559999999996</v>
      </c>
      <c r="AA47" s="67">
        <f t="shared" si="10"/>
        <v>820</v>
      </c>
      <c r="AB47" s="66">
        <v>1</v>
      </c>
      <c r="AC47" s="38">
        <f t="shared" si="11"/>
        <v>0.96494559999999996</v>
      </c>
      <c r="AD47" s="67">
        <f t="shared" si="12"/>
        <v>820</v>
      </c>
      <c r="AE47" s="66">
        <v>1</v>
      </c>
      <c r="AF47" s="38">
        <f t="shared" si="13"/>
        <v>0.72181018113207551</v>
      </c>
      <c r="AG47" s="228">
        <f t="shared" si="14"/>
        <v>620</v>
      </c>
    </row>
    <row r="48" spans="1:33" s="8" customFormat="1">
      <c r="A48" s="68">
        <f t="shared" si="0"/>
        <v>41</v>
      </c>
      <c r="B48" s="61">
        <v>6897</v>
      </c>
      <c r="C48" s="62" t="s">
        <v>150</v>
      </c>
      <c r="D48" s="62" t="s">
        <v>173</v>
      </c>
      <c r="E48" s="62"/>
      <c r="F48" s="36" t="s">
        <v>380</v>
      </c>
      <c r="G48" s="62" t="s">
        <v>400</v>
      </c>
      <c r="H48" s="62"/>
      <c r="I48" s="62" t="s">
        <v>360</v>
      </c>
      <c r="J48" s="36">
        <v>5</v>
      </c>
      <c r="K48" s="36">
        <v>5</v>
      </c>
      <c r="L48" s="36">
        <v>4</v>
      </c>
      <c r="M48" s="36">
        <v>5</v>
      </c>
      <c r="N48" s="36">
        <v>5</v>
      </c>
      <c r="O48" s="36">
        <v>4</v>
      </c>
      <c r="P48" s="36">
        <v>5</v>
      </c>
      <c r="Q48" s="36">
        <v>4</v>
      </c>
      <c r="R48" s="63">
        <f t="shared" si="4"/>
        <v>4.75</v>
      </c>
      <c r="S48" s="64">
        <f t="shared" si="5"/>
        <v>0.95</v>
      </c>
      <c r="T48" s="65" t="str">
        <f t="shared" si="6"/>
        <v>Grade-A</v>
      </c>
      <c r="U48" s="148">
        <f>IFERROR(VLOOKUP(F48,Database!F:G,2,0),0)</f>
        <v>900</v>
      </c>
      <c r="V48" s="66">
        <v>1</v>
      </c>
      <c r="W48" s="38">
        <f t="shared" si="7"/>
        <v>0.96494559999999996</v>
      </c>
      <c r="X48" s="67">
        <f t="shared" si="8"/>
        <v>830</v>
      </c>
      <c r="Y48" s="66">
        <v>1</v>
      </c>
      <c r="Z48" s="38">
        <f t="shared" si="9"/>
        <v>0.96494559999999996</v>
      </c>
      <c r="AA48" s="67">
        <f t="shared" si="10"/>
        <v>830</v>
      </c>
      <c r="AB48" s="66">
        <v>1</v>
      </c>
      <c r="AC48" s="38">
        <f t="shared" si="11"/>
        <v>0.96494559999999996</v>
      </c>
      <c r="AD48" s="67">
        <f t="shared" si="12"/>
        <v>830</v>
      </c>
      <c r="AE48" s="66">
        <v>1</v>
      </c>
      <c r="AF48" s="38">
        <f t="shared" si="13"/>
        <v>0.72181018113207551</v>
      </c>
      <c r="AG48" s="228">
        <f t="shared" si="14"/>
        <v>620</v>
      </c>
    </row>
    <row r="49" spans="1:33" s="8" customFormat="1">
      <c r="A49" s="60">
        <f t="shared" si="0"/>
        <v>42</v>
      </c>
      <c r="B49" s="61">
        <v>9543</v>
      </c>
      <c r="C49" s="62" t="s">
        <v>597</v>
      </c>
      <c r="D49" s="62" t="s">
        <v>173</v>
      </c>
      <c r="E49" s="62"/>
      <c r="F49" s="36" t="s">
        <v>400</v>
      </c>
      <c r="G49" s="62" t="s">
        <v>400</v>
      </c>
      <c r="H49" s="62"/>
      <c r="I49" s="62" t="s">
        <v>360</v>
      </c>
      <c r="J49" s="36">
        <v>4</v>
      </c>
      <c r="K49" s="36">
        <v>5</v>
      </c>
      <c r="L49" s="36">
        <v>5</v>
      </c>
      <c r="M49" s="36">
        <v>5</v>
      </c>
      <c r="N49" s="36">
        <v>5</v>
      </c>
      <c r="O49" s="36">
        <v>5</v>
      </c>
      <c r="P49" s="36">
        <v>5</v>
      </c>
      <c r="Q49" s="36">
        <v>5</v>
      </c>
      <c r="R49" s="63">
        <f t="shared" si="4"/>
        <v>4.7</v>
      </c>
      <c r="S49" s="64">
        <f t="shared" si="5"/>
        <v>0.94000000000000006</v>
      </c>
      <c r="T49" s="65" t="str">
        <f t="shared" si="6"/>
        <v>Grade-A</v>
      </c>
      <c r="U49" s="148">
        <f>IFERROR(VLOOKUP(F49,Database!F:G,2,0),0)</f>
        <v>800</v>
      </c>
      <c r="V49" s="66">
        <v>1</v>
      </c>
      <c r="W49" s="38">
        <f t="shared" si="7"/>
        <v>0.96494559999999996</v>
      </c>
      <c r="X49" s="67">
        <f t="shared" si="8"/>
        <v>730</v>
      </c>
      <c r="Y49" s="66">
        <v>1</v>
      </c>
      <c r="Z49" s="38">
        <f t="shared" si="9"/>
        <v>0.96494559999999996</v>
      </c>
      <c r="AA49" s="67">
        <f t="shared" si="10"/>
        <v>730</v>
      </c>
      <c r="AB49" s="66">
        <v>1</v>
      </c>
      <c r="AC49" s="38">
        <f t="shared" si="11"/>
        <v>0.96494559999999996</v>
      </c>
      <c r="AD49" s="67">
        <f t="shared" si="12"/>
        <v>730</v>
      </c>
      <c r="AE49" s="66">
        <v>1</v>
      </c>
      <c r="AF49" s="38">
        <f t="shared" si="13"/>
        <v>0.72181018113207551</v>
      </c>
      <c r="AG49" s="228">
        <f t="shared" si="14"/>
        <v>550</v>
      </c>
    </row>
    <row r="50" spans="1:33">
      <c r="A50" s="68">
        <f t="shared" si="0"/>
        <v>43</v>
      </c>
      <c r="B50" s="135">
        <v>9142</v>
      </c>
      <c r="C50" s="136" t="s">
        <v>598</v>
      </c>
      <c r="D50" s="136" t="s">
        <v>173</v>
      </c>
      <c r="E50" s="136"/>
      <c r="F50" s="137" t="s">
        <v>400</v>
      </c>
      <c r="G50" s="136" t="s">
        <v>400</v>
      </c>
      <c r="H50" s="136"/>
      <c r="I50" s="136" t="s">
        <v>750</v>
      </c>
      <c r="J50" s="137">
        <v>5</v>
      </c>
      <c r="K50" s="137">
        <v>4</v>
      </c>
      <c r="L50" s="137">
        <v>5</v>
      </c>
      <c r="M50" s="137">
        <v>5</v>
      </c>
      <c r="N50" s="137">
        <v>5</v>
      </c>
      <c r="O50" s="137">
        <v>5</v>
      </c>
      <c r="P50" s="137">
        <v>5</v>
      </c>
      <c r="Q50" s="137">
        <v>5</v>
      </c>
      <c r="R50" s="253">
        <f t="shared" si="4"/>
        <v>4.8</v>
      </c>
      <c r="S50" s="254">
        <f t="shared" si="5"/>
        <v>0.96</v>
      </c>
      <c r="T50" s="255" t="str">
        <f t="shared" si="6"/>
        <v>Grade-A</v>
      </c>
      <c r="U50" s="263">
        <f>IFERROR(VLOOKUP(F50,Database!F:G,2,0),0)</f>
        <v>800</v>
      </c>
      <c r="V50" s="138">
        <v>1</v>
      </c>
      <c r="W50" s="256">
        <f t="shared" si="7"/>
        <v>0.96494559999999996</v>
      </c>
      <c r="X50" s="198">
        <f t="shared" si="8"/>
        <v>750</v>
      </c>
      <c r="Y50" s="138">
        <v>1</v>
      </c>
      <c r="Z50" s="256">
        <f t="shared" si="9"/>
        <v>0.96494559999999996</v>
      </c>
      <c r="AA50" s="198">
        <f t="shared" si="10"/>
        <v>750</v>
      </c>
      <c r="AB50" s="138">
        <v>1</v>
      </c>
      <c r="AC50" s="256">
        <f t="shared" si="11"/>
        <v>0.96494559999999996</v>
      </c>
      <c r="AD50" s="198">
        <f t="shared" si="12"/>
        <v>750</v>
      </c>
      <c r="AE50" s="138">
        <v>0</v>
      </c>
      <c r="AF50" s="256">
        <f t="shared" si="13"/>
        <v>0.72181018113207551</v>
      </c>
      <c r="AG50" s="230">
        <f t="shared" si="14"/>
        <v>0</v>
      </c>
    </row>
    <row r="51" spans="1:33">
      <c r="A51" s="68">
        <f t="shared" si="0"/>
        <v>44</v>
      </c>
      <c r="B51" s="69">
        <v>7788</v>
      </c>
      <c r="C51" s="70" t="s">
        <v>599</v>
      </c>
      <c r="D51" s="70" t="s">
        <v>173</v>
      </c>
      <c r="E51" s="70"/>
      <c r="F51" s="36" t="s">
        <v>380</v>
      </c>
      <c r="G51" s="70" t="s">
        <v>400</v>
      </c>
      <c r="H51" s="70"/>
      <c r="I51" s="62" t="s">
        <v>360</v>
      </c>
      <c r="J51" s="83">
        <v>5</v>
      </c>
      <c r="K51" s="83">
        <v>4</v>
      </c>
      <c r="L51" s="83">
        <v>4</v>
      </c>
      <c r="M51" s="83">
        <v>5</v>
      </c>
      <c r="N51" s="83">
        <v>5</v>
      </c>
      <c r="O51" s="83">
        <v>4</v>
      </c>
      <c r="P51" s="83">
        <v>4</v>
      </c>
      <c r="Q51" s="83">
        <v>4</v>
      </c>
      <c r="R51" s="63">
        <f t="shared" si="4"/>
        <v>4.5</v>
      </c>
      <c r="S51" s="64">
        <f t="shared" si="5"/>
        <v>0.89999999999999991</v>
      </c>
      <c r="T51" s="65" t="str">
        <f t="shared" si="6"/>
        <v>Grade-A</v>
      </c>
      <c r="U51" s="148">
        <f>IFERROR(VLOOKUP(F51,Database!F:G,2,0),0)</f>
        <v>900</v>
      </c>
      <c r="V51" s="90">
        <v>1</v>
      </c>
      <c r="W51" s="75">
        <f t="shared" si="7"/>
        <v>0.96494559999999996</v>
      </c>
      <c r="X51" s="76">
        <f t="shared" si="8"/>
        <v>790</v>
      </c>
      <c r="Y51" s="90">
        <v>1</v>
      </c>
      <c r="Z51" s="75">
        <f t="shared" si="9"/>
        <v>0.96494559999999996</v>
      </c>
      <c r="AA51" s="76">
        <f t="shared" si="10"/>
        <v>790</v>
      </c>
      <c r="AB51" s="90">
        <v>1</v>
      </c>
      <c r="AC51" s="75">
        <f t="shared" si="11"/>
        <v>0.96494559999999996</v>
      </c>
      <c r="AD51" s="76">
        <f t="shared" si="12"/>
        <v>790</v>
      </c>
      <c r="AE51" s="90">
        <v>1</v>
      </c>
      <c r="AF51" s="75">
        <f t="shared" si="13"/>
        <v>0.72181018113207551</v>
      </c>
      <c r="AG51" s="229">
        <f t="shared" si="14"/>
        <v>590</v>
      </c>
    </row>
    <row r="52" spans="1:33">
      <c r="A52" s="60">
        <f t="shared" si="0"/>
        <v>45</v>
      </c>
      <c r="B52" s="61">
        <v>18491</v>
      </c>
      <c r="C52" s="62" t="s">
        <v>600</v>
      </c>
      <c r="D52" s="62" t="s">
        <v>173</v>
      </c>
      <c r="E52" s="62"/>
      <c r="F52" s="36" t="s">
        <v>400</v>
      </c>
      <c r="G52" s="62" t="s">
        <v>400</v>
      </c>
      <c r="H52" s="62"/>
      <c r="I52" s="62" t="s">
        <v>360</v>
      </c>
      <c r="J52" s="36">
        <v>5</v>
      </c>
      <c r="K52" s="36">
        <v>5</v>
      </c>
      <c r="L52" s="36">
        <v>5</v>
      </c>
      <c r="M52" s="36">
        <v>4</v>
      </c>
      <c r="N52" s="36">
        <v>5</v>
      </c>
      <c r="O52" s="36">
        <v>4</v>
      </c>
      <c r="P52" s="36">
        <v>5</v>
      </c>
      <c r="Q52" s="36">
        <v>4</v>
      </c>
      <c r="R52" s="63">
        <f t="shared" si="4"/>
        <v>4.75</v>
      </c>
      <c r="S52" s="64">
        <f t="shared" si="5"/>
        <v>0.95</v>
      </c>
      <c r="T52" s="65" t="str">
        <f t="shared" si="6"/>
        <v>Grade-A</v>
      </c>
      <c r="U52" s="148">
        <f>IFERROR(VLOOKUP(F52,Database!F:G,2,0),0)</f>
        <v>800</v>
      </c>
      <c r="V52" s="66">
        <v>1</v>
      </c>
      <c r="W52" s="38">
        <f t="shared" si="7"/>
        <v>0.96494559999999996</v>
      </c>
      <c r="X52" s="67">
        <f t="shared" si="8"/>
        <v>740</v>
      </c>
      <c r="Y52" s="66">
        <v>1</v>
      </c>
      <c r="Z52" s="38">
        <f t="shared" si="9"/>
        <v>0.96494559999999996</v>
      </c>
      <c r="AA52" s="67">
        <f t="shared" si="10"/>
        <v>740</v>
      </c>
      <c r="AB52" s="66">
        <v>1</v>
      </c>
      <c r="AC52" s="38">
        <f t="shared" si="11"/>
        <v>0.96494559999999996</v>
      </c>
      <c r="AD52" s="67">
        <f t="shared" si="12"/>
        <v>740</v>
      </c>
      <c r="AE52" s="66">
        <v>1</v>
      </c>
      <c r="AF52" s="38">
        <f t="shared" si="13"/>
        <v>0.72181018113207551</v>
      </c>
      <c r="AG52" s="228">
        <f t="shared" si="14"/>
        <v>550</v>
      </c>
    </row>
    <row r="53" spans="1:33">
      <c r="A53" s="60">
        <f t="shared" si="0"/>
        <v>46</v>
      </c>
      <c r="B53" s="61">
        <v>8480</v>
      </c>
      <c r="C53" s="62" t="s">
        <v>601</v>
      </c>
      <c r="D53" s="62" t="s">
        <v>173</v>
      </c>
      <c r="E53" s="62"/>
      <c r="F53" s="36" t="s">
        <v>400</v>
      </c>
      <c r="G53" s="62" t="s">
        <v>400</v>
      </c>
      <c r="H53" s="62"/>
      <c r="I53" s="62" t="s">
        <v>762</v>
      </c>
      <c r="J53" s="36">
        <v>5</v>
      </c>
      <c r="K53" s="36">
        <v>4</v>
      </c>
      <c r="L53" s="36">
        <v>4</v>
      </c>
      <c r="M53" s="36">
        <v>5</v>
      </c>
      <c r="N53" s="36">
        <v>5</v>
      </c>
      <c r="O53" s="36">
        <v>4</v>
      </c>
      <c r="P53" s="36">
        <v>5</v>
      </c>
      <c r="Q53" s="36">
        <v>4</v>
      </c>
      <c r="R53" s="63">
        <f t="shared" si="4"/>
        <v>4.55</v>
      </c>
      <c r="S53" s="64">
        <f t="shared" si="5"/>
        <v>0.90999999999999992</v>
      </c>
      <c r="T53" s="65" t="str">
        <f t="shared" si="6"/>
        <v>Grade-A</v>
      </c>
      <c r="U53" s="148">
        <f>IFERROR(VLOOKUP(F53,Database!F:G,2,0),0)</f>
        <v>800</v>
      </c>
      <c r="V53" s="66">
        <v>1</v>
      </c>
      <c r="W53" s="38">
        <f t="shared" si="7"/>
        <v>0.96494559999999996</v>
      </c>
      <c r="X53" s="67">
        <f t="shared" si="8"/>
        <v>710</v>
      </c>
      <c r="Y53" s="66">
        <v>1</v>
      </c>
      <c r="Z53" s="38">
        <f t="shared" si="9"/>
        <v>0.96494559999999996</v>
      </c>
      <c r="AA53" s="67">
        <f t="shared" si="10"/>
        <v>710</v>
      </c>
      <c r="AB53" s="66">
        <v>1</v>
      </c>
      <c r="AC53" s="38">
        <f t="shared" si="11"/>
        <v>0.96494559999999996</v>
      </c>
      <c r="AD53" s="67">
        <f t="shared" si="12"/>
        <v>710</v>
      </c>
      <c r="AE53" s="66">
        <v>0.9</v>
      </c>
      <c r="AF53" s="38">
        <f t="shared" si="13"/>
        <v>0.72181018113207551</v>
      </c>
      <c r="AG53" s="228">
        <f t="shared" si="14"/>
        <v>480</v>
      </c>
    </row>
    <row r="54" spans="1:33">
      <c r="A54" s="68">
        <f t="shared" si="0"/>
        <v>47</v>
      </c>
      <c r="B54" s="61">
        <v>8109</v>
      </c>
      <c r="C54" s="62" t="s">
        <v>639</v>
      </c>
      <c r="D54" s="62"/>
      <c r="E54" s="62"/>
      <c r="F54" s="36" t="s">
        <v>400</v>
      </c>
      <c r="G54" s="62"/>
      <c r="H54" s="62"/>
      <c r="I54" s="62" t="s">
        <v>360</v>
      </c>
      <c r="J54" s="36">
        <v>5</v>
      </c>
      <c r="K54" s="36">
        <v>4</v>
      </c>
      <c r="L54" s="36">
        <v>5</v>
      </c>
      <c r="M54" s="36">
        <v>4</v>
      </c>
      <c r="N54" s="36">
        <v>5</v>
      </c>
      <c r="O54" s="36">
        <v>5</v>
      </c>
      <c r="P54" s="36">
        <v>5</v>
      </c>
      <c r="Q54" s="36">
        <v>5</v>
      </c>
      <c r="R54" s="63">
        <f t="shared" si="4"/>
        <v>4.6999999999999993</v>
      </c>
      <c r="S54" s="64">
        <f t="shared" si="5"/>
        <v>0.94</v>
      </c>
      <c r="T54" s="65" t="str">
        <f t="shared" si="6"/>
        <v>Grade-A</v>
      </c>
      <c r="U54" s="148">
        <f>IFERROR(VLOOKUP(F54,Database!F:G,2,0),0)</f>
        <v>800</v>
      </c>
      <c r="V54" s="66">
        <v>1</v>
      </c>
      <c r="W54" s="38">
        <f t="shared" si="7"/>
        <v>0.96494559999999996</v>
      </c>
      <c r="X54" s="67">
        <f t="shared" si="8"/>
        <v>730</v>
      </c>
      <c r="Y54" s="66">
        <v>1</v>
      </c>
      <c r="Z54" s="38">
        <f t="shared" si="9"/>
        <v>0.96494559999999996</v>
      </c>
      <c r="AA54" s="67">
        <f t="shared" si="10"/>
        <v>730</v>
      </c>
      <c r="AB54" s="66">
        <v>1</v>
      </c>
      <c r="AC54" s="38">
        <f t="shared" si="11"/>
        <v>0.96494559999999996</v>
      </c>
      <c r="AD54" s="67">
        <f t="shared" si="12"/>
        <v>730</v>
      </c>
      <c r="AE54" s="66">
        <v>1</v>
      </c>
      <c r="AF54" s="38">
        <f t="shared" si="13"/>
        <v>0.72181018113207551</v>
      </c>
      <c r="AG54" s="228">
        <f t="shared" si="14"/>
        <v>550</v>
      </c>
    </row>
    <row r="55" spans="1:33">
      <c r="A55" s="60">
        <f t="shared" si="0"/>
        <v>48</v>
      </c>
      <c r="B55" s="61">
        <v>9117</v>
      </c>
      <c r="C55" s="62" t="s">
        <v>602</v>
      </c>
      <c r="D55" s="62" t="s">
        <v>173</v>
      </c>
      <c r="E55" s="62"/>
      <c r="F55" s="36" t="s">
        <v>400</v>
      </c>
      <c r="G55" s="62" t="s">
        <v>400</v>
      </c>
      <c r="H55" s="62"/>
      <c r="I55" s="62" t="s">
        <v>360</v>
      </c>
      <c r="J55" s="36">
        <v>5</v>
      </c>
      <c r="K55" s="36">
        <v>4</v>
      </c>
      <c r="L55" s="36">
        <v>4</v>
      </c>
      <c r="M55" s="36">
        <v>4</v>
      </c>
      <c r="N55" s="36">
        <v>4</v>
      </c>
      <c r="O55" s="36">
        <v>4</v>
      </c>
      <c r="P55" s="36">
        <v>5</v>
      </c>
      <c r="Q55" s="36">
        <v>3</v>
      </c>
      <c r="R55" s="63">
        <f t="shared" si="4"/>
        <v>4.3</v>
      </c>
      <c r="S55" s="64">
        <f t="shared" si="5"/>
        <v>0.85999999999999988</v>
      </c>
      <c r="T55" s="65" t="str">
        <f t="shared" si="6"/>
        <v>Grade-B</v>
      </c>
      <c r="U55" s="148">
        <f>IFERROR(VLOOKUP(F55,Database!F:G,2,0),0)</f>
        <v>800</v>
      </c>
      <c r="V55" s="66">
        <v>1</v>
      </c>
      <c r="W55" s="38">
        <f t="shared" si="7"/>
        <v>0.96494559999999996</v>
      </c>
      <c r="X55" s="67">
        <f t="shared" si="8"/>
        <v>670</v>
      </c>
      <c r="Y55" s="66">
        <v>1</v>
      </c>
      <c r="Z55" s="38">
        <f t="shared" si="9"/>
        <v>0.96494559999999996</v>
      </c>
      <c r="AA55" s="67">
        <f t="shared" si="10"/>
        <v>670</v>
      </c>
      <c r="AB55" s="66">
        <v>1</v>
      </c>
      <c r="AC55" s="38">
        <f t="shared" si="11"/>
        <v>0.96494559999999996</v>
      </c>
      <c r="AD55" s="67">
        <f t="shared" si="12"/>
        <v>670</v>
      </c>
      <c r="AE55" s="66">
        <v>1</v>
      </c>
      <c r="AF55" s="38">
        <f t="shared" si="13"/>
        <v>0.72181018113207551</v>
      </c>
      <c r="AG55" s="228">
        <f t="shared" si="14"/>
        <v>500</v>
      </c>
    </row>
    <row r="56" spans="1:33" s="41" customFormat="1">
      <c r="A56" s="68">
        <f t="shared" si="0"/>
        <v>49</v>
      </c>
      <c r="B56" s="61">
        <v>17311</v>
      </c>
      <c r="C56" s="62" t="s">
        <v>633</v>
      </c>
      <c r="D56" s="62"/>
      <c r="E56" s="62"/>
      <c r="F56" s="36" t="s">
        <v>400</v>
      </c>
      <c r="G56" s="62"/>
      <c r="H56" s="62"/>
      <c r="I56" s="62" t="s">
        <v>360</v>
      </c>
      <c r="J56" s="36">
        <v>5</v>
      </c>
      <c r="K56" s="36">
        <v>4</v>
      </c>
      <c r="L56" s="36">
        <v>4</v>
      </c>
      <c r="M56" s="36">
        <v>5</v>
      </c>
      <c r="N56" s="36">
        <v>5</v>
      </c>
      <c r="O56" s="36">
        <v>4</v>
      </c>
      <c r="P56" s="36">
        <v>5</v>
      </c>
      <c r="Q56" s="36">
        <v>5</v>
      </c>
      <c r="R56" s="63">
        <f t="shared" si="4"/>
        <v>4.5999999999999996</v>
      </c>
      <c r="S56" s="64">
        <f t="shared" si="5"/>
        <v>0.91999999999999993</v>
      </c>
      <c r="T56" s="65" t="str">
        <f t="shared" si="6"/>
        <v>Grade-A</v>
      </c>
      <c r="U56" s="148">
        <f>IFERROR(VLOOKUP(F56,Database!F:G,2,0),0)</f>
        <v>800</v>
      </c>
      <c r="V56" s="66">
        <v>1</v>
      </c>
      <c r="W56" s="38">
        <f t="shared" si="7"/>
        <v>0.96494559999999996</v>
      </c>
      <c r="X56" s="67">
        <f t="shared" si="8"/>
        <v>720</v>
      </c>
      <c r="Y56" s="66">
        <v>1</v>
      </c>
      <c r="Z56" s="38">
        <f t="shared" si="9"/>
        <v>0.96494559999999996</v>
      </c>
      <c r="AA56" s="67">
        <f t="shared" si="10"/>
        <v>720</v>
      </c>
      <c r="AB56" s="66">
        <v>0</v>
      </c>
      <c r="AC56" s="38">
        <f t="shared" si="11"/>
        <v>0.96494559999999996</v>
      </c>
      <c r="AD56" s="67">
        <f t="shared" si="12"/>
        <v>0</v>
      </c>
      <c r="AE56" s="66">
        <v>1</v>
      </c>
      <c r="AF56" s="38">
        <f t="shared" si="13"/>
        <v>0.72181018113207551</v>
      </c>
      <c r="AG56" s="228">
        <f t="shared" si="14"/>
        <v>540</v>
      </c>
    </row>
    <row r="57" spans="1:33">
      <c r="A57" s="68">
        <f t="shared" si="0"/>
        <v>50</v>
      </c>
      <c r="B57" s="61">
        <v>16921</v>
      </c>
      <c r="C57" s="62" t="s">
        <v>643</v>
      </c>
      <c r="D57" s="62"/>
      <c r="E57" s="62"/>
      <c r="F57" s="36" t="s">
        <v>400</v>
      </c>
      <c r="G57" s="62"/>
      <c r="H57" s="62"/>
      <c r="I57" s="70" t="s">
        <v>662</v>
      </c>
      <c r="J57" s="36">
        <v>5</v>
      </c>
      <c r="K57" s="36">
        <v>5</v>
      </c>
      <c r="L57" s="36">
        <v>5</v>
      </c>
      <c r="M57" s="36">
        <v>5</v>
      </c>
      <c r="N57" s="36">
        <v>5</v>
      </c>
      <c r="O57" s="36">
        <v>4</v>
      </c>
      <c r="P57" s="36">
        <v>5</v>
      </c>
      <c r="Q57" s="36">
        <v>4</v>
      </c>
      <c r="R57" s="63">
        <f t="shared" si="4"/>
        <v>4.8500000000000005</v>
      </c>
      <c r="S57" s="64">
        <f t="shared" si="5"/>
        <v>0.97</v>
      </c>
      <c r="T57" s="65" t="str">
        <f t="shared" si="6"/>
        <v>Grade-A</v>
      </c>
      <c r="U57" s="148">
        <f>IFERROR(VLOOKUP(F57,Database!F:G,2,0),0)</f>
        <v>800</v>
      </c>
      <c r="V57" s="66">
        <v>1</v>
      </c>
      <c r="W57" s="38">
        <f t="shared" si="7"/>
        <v>0.96494559999999996</v>
      </c>
      <c r="X57" s="67">
        <f t="shared" si="8"/>
        <v>750</v>
      </c>
      <c r="Y57" s="66">
        <v>1</v>
      </c>
      <c r="Z57" s="38">
        <f t="shared" si="9"/>
        <v>0.96494559999999996</v>
      </c>
      <c r="AA57" s="67">
        <f t="shared" si="10"/>
        <v>750</v>
      </c>
      <c r="AB57" s="66">
        <v>1</v>
      </c>
      <c r="AC57" s="38">
        <f t="shared" si="11"/>
        <v>0.96494559999999996</v>
      </c>
      <c r="AD57" s="67">
        <f t="shared" si="12"/>
        <v>750</v>
      </c>
      <c r="AE57" s="66">
        <v>1</v>
      </c>
      <c r="AF57" s="38">
        <f t="shared" si="13"/>
        <v>0.72181018113207551</v>
      </c>
      <c r="AG57" s="228">
        <f t="shared" si="14"/>
        <v>570</v>
      </c>
    </row>
    <row r="58" spans="1:33">
      <c r="A58" s="60">
        <f t="shared" si="0"/>
        <v>51</v>
      </c>
      <c r="B58" s="61">
        <v>17255</v>
      </c>
      <c r="C58" s="62" t="s">
        <v>644</v>
      </c>
      <c r="D58" s="62"/>
      <c r="E58" s="62"/>
      <c r="F58" s="36" t="s">
        <v>400</v>
      </c>
      <c r="G58" s="62"/>
      <c r="H58" s="62"/>
      <c r="I58" s="70" t="s">
        <v>662</v>
      </c>
      <c r="J58" s="36">
        <v>5</v>
      </c>
      <c r="K58" s="36">
        <v>4</v>
      </c>
      <c r="L58" s="36">
        <v>4</v>
      </c>
      <c r="M58" s="36">
        <v>5</v>
      </c>
      <c r="N58" s="36">
        <v>5</v>
      </c>
      <c r="O58" s="36">
        <v>5</v>
      </c>
      <c r="P58" s="36">
        <v>5</v>
      </c>
      <c r="Q58" s="36">
        <v>5</v>
      </c>
      <c r="R58" s="63">
        <f t="shared" si="4"/>
        <v>4.6999999999999993</v>
      </c>
      <c r="S58" s="64">
        <f t="shared" si="5"/>
        <v>0.94</v>
      </c>
      <c r="T58" s="65" t="str">
        <f t="shared" si="6"/>
        <v>Grade-A</v>
      </c>
      <c r="U58" s="148">
        <f>IFERROR(VLOOKUP(F58,Database!F:G,2,0),0)</f>
        <v>800</v>
      </c>
      <c r="V58" s="66">
        <v>1</v>
      </c>
      <c r="W58" s="38">
        <f t="shared" si="7"/>
        <v>0.96494559999999996</v>
      </c>
      <c r="X58" s="67">
        <f t="shared" si="8"/>
        <v>730</v>
      </c>
      <c r="Y58" s="66">
        <v>1</v>
      </c>
      <c r="Z58" s="38">
        <f t="shared" si="9"/>
        <v>0.96494559999999996</v>
      </c>
      <c r="AA58" s="67">
        <f t="shared" si="10"/>
        <v>730</v>
      </c>
      <c r="AB58" s="66">
        <v>1</v>
      </c>
      <c r="AC58" s="38">
        <f t="shared" si="11"/>
        <v>0.96494559999999996</v>
      </c>
      <c r="AD58" s="67">
        <f t="shared" si="12"/>
        <v>730</v>
      </c>
      <c r="AE58" s="66">
        <v>1</v>
      </c>
      <c r="AF58" s="38">
        <f t="shared" si="13"/>
        <v>0.72181018113207551</v>
      </c>
      <c r="AG58" s="228">
        <f t="shared" si="14"/>
        <v>550</v>
      </c>
    </row>
    <row r="59" spans="1:33">
      <c r="A59" s="68">
        <f t="shared" si="0"/>
        <v>52</v>
      </c>
      <c r="B59" s="61">
        <v>7569</v>
      </c>
      <c r="C59" s="62" t="s">
        <v>646</v>
      </c>
      <c r="D59" s="62"/>
      <c r="E59" s="62"/>
      <c r="F59" s="36" t="s">
        <v>400</v>
      </c>
      <c r="G59" s="62"/>
      <c r="H59" s="62"/>
      <c r="I59" s="70" t="s">
        <v>662</v>
      </c>
      <c r="J59" s="36">
        <v>5</v>
      </c>
      <c r="K59" s="36">
        <v>4</v>
      </c>
      <c r="L59" s="36">
        <v>4</v>
      </c>
      <c r="M59" s="36">
        <v>5</v>
      </c>
      <c r="N59" s="36">
        <v>5</v>
      </c>
      <c r="O59" s="36">
        <v>5</v>
      </c>
      <c r="P59" s="36">
        <v>5</v>
      </c>
      <c r="Q59" s="36">
        <v>5</v>
      </c>
      <c r="R59" s="63">
        <f t="shared" si="4"/>
        <v>4.6999999999999993</v>
      </c>
      <c r="S59" s="64">
        <f t="shared" si="5"/>
        <v>0.94</v>
      </c>
      <c r="T59" s="65" t="str">
        <f t="shared" si="6"/>
        <v>Grade-A</v>
      </c>
      <c r="U59" s="148">
        <f>IFERROR(VLOOKUP(F59,Database!F:G,2,0),0)</f>
        <v>800</v>
      </c>
      <c r="V59" s="66">
        <v>1</v>
      </c>
      <c r="W59" s="38">
        <f t="shared" si="7"/>
        <v>0.96494559999999996</v>
      </c>
      <c r="X59" s="67">
        <f t="shared" si="8"/>
        <v>730</v>
      </c>
      <c r="Y59" s="66">
        <v>1</v>
      </c>
      <c r="Z59" s="38">
        <f t="shared" si="9"/>
        <v>0.96494559999999996</v>
      </c>
      <c r="AA59" s="67">
        <f t="shared" si="10"/>
        <v>730</v>
      </c>
      <c r="AB59" s="66">
        <v>1</v>
      </c>
      <c r="AC59" s="38">
        <f t="shared" si="11"/>
        <v>0.96494559999999996</v>
      </c>
      <c r="AD59" s="67">
        <f t="shared" si="12"/>
        <v>730</v>
      </c>
      <c r="AE59" s="66">
        <v>1</v>
      </c>
      <c r="AF59" s="38">
        <f t="shared" si="13"/>
        <v>0.72181018113207551</v>
      </c>
      <c r="AG59" s="228">
        <f t="shared" si="14"/>
        <v>550</v>
      </c>
    </row>
    <row r="60" spans="1:33">
      <c r="A60" s="68">
        <f t="shared" si="0"/>
        <v>53</v>
      </c>
      <c r="B60" s="61">
        <v>25383</v>
      </c>
      <c r="C60" s="62" t="s">
        <v>645</v>
      </c>
      <c r="D60" s="62"/>
      <c r="E60" s="62"/>
      <c r="F60" s="36" t="s">
        <v>400</v>
      </c>
      <c r="G60" s="62"/>
      <c r="H60" s="62"/>
      <c r="I60" s="70" t="s">
        <v>662</v>
      </c>
      <c r="J60" s="36">
        <v>5</v>
      </c>
      <c r="K60" s="36">
        <v>4</v>
      </c>
      <c r="L60" s="36">
        <v>4</v>
      </c>
      <c r="M60" s="36">
        <v>5</v>
      </c>
      <c r="N60" s="36">
        <v>5</v>
      </c>
      <c r="O60" s="36">
        <v>5</v>
      </c>
      <c r="P60" s="36">
        <v>5</v>
      </c>
      <c r="Q60" s="36">
        <v>4</v>
      </c>
      <c r="R60" s="63">
        <f t="shared" si="4"/>
        <v>4.6499999999999995</v>
      </c>
      <c r="S60" s="64">
        <f t="shared" si="5"/>
        <v>0.92999999999999994</v>
      </c>
      <c r="T60" s="65" t="str">
        <f t="shared" si="6"/>
        <v>Grade-A</v>
      </c>
      <c r="U60" s="148">
        <f>IFERROR(VLOOKUP(F60,Database!F:G,2,0),0)</f>
        <v>800</v>
      </c>
      <c r="V60" s="66">
        <v>1</v>
      </c>
      <c r="W60" s="38">
        <f t="shared" si="7"/>
        <v>0.96494559999999996</v>
      </c>
      <c r="X60" s="67">
        <f t="shared" si="8"/>
        <v>720</v>
      </c>
      <c r="Y60" s="66">
        <v>1</v>
      </c>
      <c r="Z60" s="38">
        <f t="shared" si="9"/>
        <v>0.96494559999999996</v>
      </c>
      <c r="AA60" s="67">
        <f t="shared" si="10"/>
        <v>720</v>
      </c>
      <c r="AB60" s="66">
        <v>1</v>
      </c>
      <c r="AC60" s="38">
        <f t="shared" si="11"/>
        <v>0.96494559999999996</v>
      </c>
      <c r="AD60" s="67">
        <f t="shared" si="12"/>
        <v>720</v>
      </c>
      <c r="AE60" s="66">
        <v>1</v>
      </c>
      <c r="AF60" s="38">
        <f t="shared" si="13"/>
        <v>0.72181018113207551</v>
      </c>
      <c r="AG60" s="228">
        <f t="shared" si="14"/>
        <v>540</v>
      </c>
    </row>
    <row r="61" spans="1:33">
      <c r="A61" s="60">
        <f t="shared" si="0"/>
        <v>54</v>
      </c>
      <c r="B61" s="290">
        <v>2317</v>
      </c>
      <c r="C61" s="291" t="s">
        <v>570</v>
      </c>
      <c r="D61" s="291" t="s">
        <v>296</v>
      </c>
      <c r="E61" s="291" t="s">
        <v>311</v>
      </c>
      <c r="F61" s="250" t="s">
        <v>396</v>
      </c>
      <c r="G61" s="291" t="s">
        <v>366</v>
      </c>
      <c r="H61" s="291"/>
      <c r="I61" s="291" t="s">
        <v>782</v>
      </c>
      <c r="J61" s="250">
        <v>4</v>
      </c>
      <c r="K61" s="250">
        <v>4</v>
      </c>
      <c r="L61" s="250">
        <v>4</v>
      </c>
      <c r="M61" s="250">
        <v>4</v>
      </c>
      <c r="N61" s="250">
        <v>4</v>
      </c>
      <c r="O61" s="250">
        <v>4</v>
      </c>
      <c r="P61" s="250">
        <v>5</v>
      </c>
      <c r="Q61" s="250">
        <v>5</v>
      </c>
      <c r="R61" s="292">
        <f t="shared" si="4"/>
        <v>4.0999999999999996</v>
      </c>
      <c r="S61" s="293">
        <f t="shared" si="5"/>
        <v>0.82000000000000006</v>
      </c>
      <c r="T61" s="294" t="str">
        <f t="shared" si="6"/>
        <v>Grade-B</v>
      </c>
      <c r="U61" s="324">
        <f>IFERROR(VLOOKUP(F61,Database!F:G,2,0),0)</f>
        <v>2000</v>
      </c>
      <c r="V61" s="296">
        <v>1</v>
      </c>
      <c r="W61" s="325">
        <f t="shared" si="7"/>
        <v>0.96494559999999996</v>
      </c>
      <c r="X61" s="298">
        <f>CEILING($U61*$S61*V61*W61,10)</f>
        <v>1590</v>
      </c>
      <c r="Y61" s="296">
        <v>1</v>
      </c>
      <c r="Z61" s="325">
        <f t="shared" si="9"/>
        <v>0.96494559999999996</v>
      </c>
      <c r="AA61" s="298">
        <f>CEILING($U61*$S61*Y61*Z61,10)</f>
        <v>1590</v>
      </c>
      <c r="AB61" s="296">
        <v>1</v>
      </c>
      <c r="AC61" s="325">
        <f t="shared" si="11"/>
        <v>0.96494559999999996</v>
      </c>
      <c r="AD61" s="298">
        <f>CEILING($U61*$S61*AB61*AC61,10)</f>
        <v>1590</v>
      </c>
      <c r="AE61" s="296">
        <v>0.52</v>
      </c>
      <c r="AF61" s="325">
        <f t="shared" si="13"/>
        <v>0.72181018113207551</v>
      </c>
      <c r="AG61" s="299">
        <f t="shared" si="14"/>
        <v>620</v>
      </c>
    </row>
    <row r="62" spans="1:33">
      <c r="A62" s="68">
        <f t="shared" si="0"/>
        <v>55</v>
      </c>
      <c r="B62" s="61">
        <v>15913</v>
      </c>
      <c r="C62" s="62" t="s">
        <v>535</v>
      </c>
      <c r="D62" s="62" t="s">
        <v>32</v>
      </c>
      <c r="E62" s="62"/>
      <c r="F62" s="36" t="s">
        <v>371</v>
      </c>
      <c r="G62" s="62"/>
      <c r="H62" s="62"/>
      <c r="I62" s="70" t="s">
        <v>662</v>
      </c>
      <c r="J62" s="36">
        <v>5</v>
      </c>
      <c r="K62" s="36">
        <v>4</v>
      </c>
      <c r="L62" s="36">
        <v>4</v>
      </c>
      <c r="M62" s="36">
        <v>4</v>
      </c>
      <c r="N62" s="36">
        <v>5</v>
      </c>
      <c r="O62" s="36">
        <v>5</v>
      </c>
      <c r="P62" s="36">
        <v>5</v>
      </c>
      <c r="Q62" s="36">
        <v>5</v>
      </c>
      <c r="R62" s="63">
        <f t="shared" si="4"/>
        <v>4.5999999999999996</v>
      </c>
      <c r="S62" s="64">
        <f t="shared" si="5"/>
        <v>0.91999999999999993</v>
      </c>
      <c r="T62" s="65" t="str">
        <f t="shared" si="6"/>
        <v>Grade-A</v>
      </c>
      <c r="U62" s="147">
        <f>IFERROR(VLOOKUP(F62,Database!F:G,2,0),0)</f>
        <v>800</v>
      </c>
      <c r="V62" s="90">
        <v>1</v>
      </c>
      <c r="W62" s="75">
        <f t="shared" si="7"/>
        <v>0.96494559999999996</v>
      </c>
      <c r="X62" s="195">
        <f t="shared" ref="X62:X64" si="15">CEILING($U62*$S62*V62*W62,10)</f>
        <v>720</v>
      </c>
      <c r="Y62" s="90">
        <v>1</v>
      </c>
      <c r="Z62" s="75">
        <f t="shared" si="9"/>
        <v>0.96494559999999996</v>
      </c>
      <c r="AA62" s="195">
        <f t="shared" ref="AA62:AA68" si="16">CEILING($U62*$S62*Y62*Z62,10)</f>
        <v>720</v>
      </c>
      <c r="AB62" s="90">
        <v>1</v>
      </c>
      <c r="AC62" s="75">
        <f t="shared" si="11"/>
        <v>0.96494559999999996</v>
      </c>
      <c r="AD62" s="195">
        <f t="shared" ref="AD62:AD68" si="17">CEILING($U62*$S62*AB62*AC62,10)</f>
        <v>720</v>
      </c>
      <c r="AE62" s="90">
        <v>1</v>
      </c>
      <c r="AF62" s="75">
        <f t="shared" si="13"/>
        <v>0.72181018113207551</v>
      </c>
      <c r="AG62" s="232">
        <f t="shared" si="14"/>
        <v>540</v>
      </c>
    </row>
    <row r="63" spans="1:33">
      <c r="A63" s="60">
        <f t="shared" si="0"/>
        <v>56</v>
      </c>
      <c r="B63" s="61">
        <v>17796</v>
      </c>
      <c r="C63" s="62" t="s">
        <v>663</v>
      </c>
      <c r="D63" s="62" t="s">
        <v>32</v>
      </c>
      <c r="E63" s="62"/>
      <c r="F63" s="36" t="s">
        <v>375</v>
      </c>
      <c r="G63" s="62"/>
      <c r="H63" s="62"/>
      <c r="I63" s="70" t="s">
        <v>662</v>
      </c>
      <c r="J63" s="36">
        <v>5</v>
      </c>
      <c r="K63" s="36">
        <v>4</v>
      </c>
      <c r="L63" s="36">
        <v>4</v>
      </c>
      <c r="M63" s="36">
        <v>4</v>
      </c>
      <c r="N63" s="36">
        <v>5</v>
      </c>
      <c r="O63" s="36">
        <v>5</v>
      </c>
      <c r="P63" s="36">
        <v>5</v>
      </c>
      <c r="Q63" s="36">
        <v>5</v>
      </c>
      <c r="R63" s="63">
        <f t="shared" si="4"/>
        <v>4.5999999999999996</v>
      </c>
      <c r="S63" s="64">
        <f t="shared" si="5"/>
        <v>0.91999999999999993</v>
      </c>
      <c r="T63" s="65" t="str">
        <f t="shared" si="6"/>
        <v>Grade-A</v>
      </c>
      <c r="U63" s="147">
        <f>IFERROR(VLOOKUP(F63,Database!F:G,2,0),0)</f>
        <v>800</v>
      </c>
      <c r="V63" s="90">
        <v>1</v>
      </c>
      <c r="W63" s="75">
        <f t="shared" si="7"/>
        <v>0.96494559999999996</v>
      </c>
      <c r="X63" s="195">
        <f t="shared" si="15"/>
        <v>720</v>
      </c>
      <c r="Y63" s="90">
        <v>0.97</v>
      </c>
      <c r="Z63" s="75">
        <f t="shared" si="9"/>
        <v>0.96494559999999996</v>
      </c>
      <c r="AA63" s="195">
        <f t="shared" si="16"/>
        <v>690</v>
      </c>
      <c r="AB63" s="90">
        <v>1</v>
      </c>
      <c r="AC63" s="75">
        <f t="shared" si="11"/>
        <v>0.96494559999999996</v>
      </c>
      <c r="AD63" s="195">
        <f t="shared" si="17"/>
        <v>720</v>
      </c>
      <c r="AE63" s="90">
        <v>1</v>
      </c>
      <c r="AF63" s="75">
        <f t="shared" si="13"/>
        <v>0.72181018113207551</v>
      </c>
      <c r="AG63" s="232">
        <f t="shared" si="14"/>
        <v>540</v>
      </c>
    </row>
    <row r="64" spans="1:33">
      <c r="A64" s="68">
        <f t="shared" si="0"/>
        <v>57</v>
      </c>
      <c r="B64" s="61">
        <v>6780</v>
      </c>
      <c r="C64" s="62" t="s">
        <v>120</v>
      </c>
      <c r="D64" s="62" t="s">
        <v>240</v>
      </c>
      <c r="E64" s="62"/>
      <c r="F64" s="36" t="s">
        <v>380</v>
      </c>
      <c r="G64" s="62"/>
      <c r="H64" s="62"/>
      <c r="I64" s="70" t="s">
        <v>662</v>
      </c>
      <c r="J64" s="36">
        <v>5</v>
      </c>
      <c r="K64" s="36">
        <v>4</v>
      </c>
      <c r="L64" s="36">
        <v>4</v>
      </c>
      <c r="M64" s="36">
        <v>4</v>
      </c>
      <c r="N64" s="36">
        <v>5</v>
      </c>
      <c r="O64" s="36">
        <v>5</v>
      </c>
      <c r="P64" s="36">
        <v>5</v>
      </c>
      <c r="Q64" s="36">
        <v>5</v>
      </c>
      <c r="R64" s="63">
        <f t="shared" si="4"/>
        <v>4.5999999999999996</v>
      </c>
      <c r="S64" s="64">
        <f t="shared" si="5"/>
        <v>0.91999999999999993</v>
      </c>
      <c r="T64" s="65" t="str">
        <f t="shared" si="6"/>
        <v>Grade-A</v>
      </c>
      <c r="U64" s="147">
        <f>IFERROR(VLOOKUP(F64,Database!F:G,2,0),0)</f>
        <v>900</v>
      </c>
      <c r="V64" s="90">
        <v>1</v>
      </c>
      <c r="W64" s="75">
        <f t="shared" si="7"/>
        <v>0.96494559999999996</v>
      </c>
      <c r="X64" s="195">
        <f t="shared" si="15"/>
        <v>800</v>
      </c>
      <c r="Y64" s="90">
        <v>1</v>
      </c>
      <c r="Z64" s="75">
        <f t="shared" si="9"/>
        <v>0.96494559999999996</v>
      </c>
      <c r="AA64" s="195">
        <f t="shared" si="16"/>
        <v>800</v>
      </c>
      <c r="AB64" s="90">
        <v>1</v>
      </c>
      <c r="AC64" s="75">
        <f t="shared" si="11"/>
        <v>0.96494559999999996</v>
      </c>
      <c r="AD64" s="195">
        <f t="shared" si="17"/>
        <v>800</v>
      </c>
      <c r="AE64" s="90">
        <v>1</v>
      </c>
      <c r="AF64" s="75">
        <f t="shared" si="13"/>
        <v>0.72181018113207551</v>
      </c>
      <c r="AG64" s="232">
        <f t="shared" si="14"/>
        <v>600</v>
      </c>
    </row>
    <row r="65" spans="1:33">
      <c r="A65" s="68">
        <f t="shared" si="0"/>
        <v>58</v>
      </c>
      <c r="B65" s="61">
        <v>1524</v>
      </c>
      <c r="C65" s="62" t="s">
        <v>647</v>
      </c>
      <c r="D65" s="62"/>
      <c r="E65" s="62"/>
      <c r="F65" s="36" t="s">
        <v>370</v>
      </c>
      <c r="G65" s="62"/>
      <c r="H65" s="62"/>
      <c r="I65" s="70" t="s">
        <v>662</v>
      </c>
      <c r="J65" s="36">
        <v>5</v>
      </c>
      <c r="K65" s="36">
        <v>4</v>
      </c>
      <c r="L65" s="36">
        <v>4</v>
      </c>
      <c r="M65" s="36">
        <v>5</v>
      </c>
      <c r="N65" s="36">
        <v>5</v>
      </c>
      <c r="O65" s="36">
        <v>4</v>
      </c>
      <c r="P65" s="36">
        <v>4</v>
      </c>
      <c r="Q65" s="36">
        <v>5</v>
      </c>
      <c r="R65" s="63">
        <f t="shared" si="4"/>
        <v>4.55</v>
      </c>
      <c r="S65" s="64">
        <f t="shared" si="5"/>
        <v>0.90999999999999992</v>
      </c>
      <c r="T65" s="65" t="str">
        <f t="shared" si="6"/>
        <v>Grade-A</v>
      </c>
      <c r="U65" s="147">
        <f>IFERROR(VLOOKUP(F65,Database!F:G,2,0),0)</f>
        <v>600</v>
      </c>
      <c r="V65" s="90">
        <v>0.5</v>
      </c>
      <c r="W65" s="75">
        <f t="shared" si="7"/>
        <v>0.96494559999999996</v>
      </c>
      <c r="X65" s="195">
        <f t="shared" ref="X65:X68" si="18">CEILING($U65*$S65*V65*W65,10)</f>
        <v>270</v>
      </c>
      <c r="Y65" s="90">
        <v>1</v>
      </c>
      <c r="Z65" s="75">
        <f t="shared" si="9"/>
        <v>0.96494559999999996</v>
      </c>
      <c r="AA65" s="195">
        <f t="shared" si="16"/>
        <v>530</v>
      </c>
      <c r="AB65" s="90">
        <v>1</v>
      </c>
      <c r="AC65" s="75">
        <f t="shared" si="11"/>
        <v>0.96494559999999996</v>
      </c>
      <c r="AD65" s="195">
        <f t="shared" si="17"/>
        <v>530</v>
      </c>
      <c r="AE65" s="90">
        <v>1</v>
      </c>
      <c r="AF65" s="75">
        <f t="shared" si="13"/>
        <v>0.72181018113207551</v>
      </c>
      <c r="AG65" s="232">
        <f t="shared" si="14"/>
        <v>400</v>
      </c>
    </row>
    <row r="66" spans="1:33" s="41" customFormat="1">
      <c r="A66" s="379">
        <f t="shared" si="0"/>
        <v>59</v>
      </c>
      <c r="B66" s="380">
        <v>16736</v>
      </c>
      <c r="C66" s="381" t="s">
        <v>649</v>
      </c>
      <c r="D66" s="381"/>
      <c r="E66" s="381"/>
      <c r="F66" s="382" t="s">
        <v>370</v>
      </c>
      <c r="G66" s="381"/>
      <c r="H66" s="381"/>
      <c r="I66" s="381" t="s">
        <v>662</v>
      </c>
      <c r="J66" s="382">
        <v>5</v>
      </c>
      <c r="K66" s="382">
        <v>4</v>
      </c>
      <c r="L66" s="382">
        <v>4</v>
      </c>
      <c r="M66" s="382">
        <v>5</v>
      </c>
      <c r="N66" s="382">
        <v>5</v>
      </c>
      <c r="O66" s="382">
        <v>4</v>
      </c>
      <c r="P66" s="382">
        <v>4</v>
      </c>
      <c r="Q66" s="382">
        <v>5</v>
      </c>
      <c r="R66" s="383">
        <f t="shared" si="4"/>
        <v>4.55</v>
      </c>
      <c r="S66" s="384">
        <f t="shared" si="5"/>
        <v>0.90999999999999992</v>
      </c>
      <c r="T66" s="385" t="str">
        <f t="shared" si="6"/>
        <v>Grade-A</v>
      </c>
      <c r="U66" s="386">
        <f>IFERROR(VLOOKUP(F66,Database!F:G,2,0),0)</f>
        <v>600</v>
      </c>
      <c r="V66" s="387">
        <v>0.5</v>
      </c>
      <c r="W66" s="388">
        <f t="shared" si="7"/>
        <v>0.96494559999999996</v>
      </c>
      <c r="X66" s="389">
        <f t="shared" si="18"/>
        <v>270</v>
      </c>
      <c r="Y66" s="387">
        <v>1</v>
      </c>
      <c r="Z66" s="388">
        <f t="shared" si="9"/>
        <v>0.96494559999999996</v>
      </c>
      <c r="AA66" s="389">
        <f t="shared" si="16"/>
        <v>530</v>
      </c>
      <c r="AB66" s="387">
        <v>1</v>
      </c>
      <c r="AC66" s="388">
        <f t="shared" si="11"/>
        <v>0.96494559999999996</v>
      </c>
      <c r="AD66" s="389">
        <f t="shared" si="17"/>
        <v>530</v>
      </c>
      <c r="AE66" s="387">
        <v>1</v>
      </c>
      <c r="AF66" s="388">
        <f t="shared" si="13"/>
        <v>0.72181018113207551</v>
      </c>
      <c r="AG66" s="390">
        <v>0</v>
      </c>
    </row>
    <row r="67" spans="1:33" s="41" customFormat="1">
      <c r="A67" s="379">
        <f t="shared" si="0"/>
        <v>60</v>
      </c>
      <c r="B67" s="380">
        <v>17288</v>
      </c>
      <c r="C67" s="381" t="s">
        <v>650</v>
      </c>
      <c r="D67" s="381"/>
      <c r="E67" s="381"/>
      <c r="F67" s="382" t="s">
        <v>370</v>
      </c>
      <c r="G67" s="381"/>
      <c r="H67" s="381"/>
      <c r="I67" s="381" t="s">
        <v>662</v>
      </c>
      <c r="J67" s="382">
        <v>5</v>
      </c>
      <c r="K67" s="382">
        <v>4</v>
      </c>
      <c r="L67" s="382">
        <v>4</v>
      </c>
      <c r="M67" s="382">
        <v>5</v>
      </c>
      <c r="N67" s="382">
        <v>5</v>
      </c>
      <c r="O67" s="382">
        <v>4</v>
      </c>
      <c r="P67" s="382">
        <v>4</v>
      </c>
      <c r="Q67" s="382">
        <v>5</v>
      </c>
      <c r="R67" s="383">
        <f t="shared" si="4"/>
        <v>4.55</v>
      </c>
      <c r="S67" s="384">
        <f t="shared" si="5"/>
        <v>0.90999999999999992</v>
      </c>
      <c r="T67" s="385" t="str">
        <f t="shared" si="6"/>
        <v>Grade-A</v>
      </c>
      <c r="U67" s="386">
        <f>IFERROR(VLOOKUP(F67,Database!F:G,2,0),0)</f>
        <v>600</v>
      </c>
      <c r="V67" s="387">
        <v>0.5</v>
      </c>
      <c r="W67" s="388">
        <f t="shared" si="7"/>
        <v>0.96494559999999996</v>
      </c>
      <c r="X67" s="389">
        <f t="shared" si="18"/>
        <v>270</v>
      </c>
      <c r="Y67" s="387">
        <v>1</v>
      </c>
      <c r="Z67" s="388">
        <f t="shared" si="9"/>
        <v>0.96494559999999996</v>
      </c>
      <c r="AA67" s="389">
        <f t="shared" si="16"/>
        <v>530</v>
      </c>
      <c r="AB67" s="387">
        <v>1</v>
      </c>
      <c r="AC67" s="388">
        <f t="shared" si="11"/>
        <v>0.96494559999999996</v>
      </c>
      <c r="AD67" s="389">
        <f t="shared" si="17"/>
        <v>530</v>
      </c>
      <c r="AE67" s="387">
        <v>1</v>
      </c>
      <c r="AF67" s="388">
        <f t="shared" si="13"/>
        <v>0.72181018113207551</v>
      </c>
      <c r="AG67" s="390">
        <v>0</v>
      </c>
    </row>
    <row r="68" spans="1:33" s="41" customFormat="1">
      <c r="A68" s="379">
        <f t="shared" si="0"/>
        <v>61</v>
      </c>
      <c r="B68" s="380">
        <v>16723</v>
      </c>
      <c r="C68" s="381" t="s">
        <v>651</v>
      </c>
      <c r="D68" s="381"/>
      <c r="E68" s="381"/>
      <c r="F68" s="382" t="s">
        <v>370</v>
      </c>
      <c r="G68" s="381"/>
      <c r="H68" s="381"/>
      <c r="I68" s="381" t="s">
        <v>662</v>
      </c>
      <c r="J68" s="382">
        <v>5</v>
      </c>
      <c r="K68" s="382">
        <v>4</v>
      </c>
      <c r="L68" s="382">
        <v>4</v>
      </c>
      <c r="M68" s="382">
        <v>5</v>
      </c>
      <c r="N68" s="382">
        <v>5</v>
      </c>
      <c r="O68" s="382">
        <v>4</v>
      </c>
      <c r="P68" s="382">
        <v>4</v>
      </c>
      <c r="Q68" s="382">
        <v>5</v>
      </c>
      <c r="R68" s="383">
        <f t="shared" si="4"/>
        <v>4.55</v>
      </c>
      <c r="S68" s="384">
        <f t="shared" si="5"/>
        <v>0.90999999999999992</v>
      </c>
      <c r="T68" s="385" t="str">
        <f t="shared" si="6"/>
        <v>Grade-A</v>
      </c>
      <c r="U68" s="386">
        <f>IFERROR(VLOOKUP(F68,Database!F:G,2,0),0)</f>
        <v>600</v>
      </c>
      <c r="V68" s="387">
        <v>0.5</v>
      </c>
      <c r="W68" s="388">
        <f t="shared" si="7"/>
        <v>0.96494559999999996</v>
      </c>
      <c r="X68" s="389">
        <f t="shared" si="18"/>
        <v>270</v>
      </c>
      <c r="Y68" s="387">
        <v>1</v>
      </c>
      <c r="Z68" s="388">
        <f t="shared" si="9"/>
        <v>0.96494559999999996</v>
      </c>
      <c r="AA68" s="389">
        <f t="shared" si="16"/>
        <v>530</v>
      </c>
      <c r="AB68" s="387">
        <v>1</v>
      </c>
      <c r="AC68" s="388">
        <f t="shared" si="11"/>
        <v>0.96494559999999996</v>
      </c>
      <c r="AD68" s="389">
        <f t="shared" si="17"/>
        <v>530</v>
      </c>
      <c r="AE68" s="387">
        <v>1</v>
      </c>
      <c r="AF68" s="388">
        <f t="shared" si="13"/>
        <v>0.72181018113207551</v>
      </c>
      <c r="AG68" s="390">
        <v>0</v>
      </c>
    </row>
    <row r="69" spans="1:33">
      <c r="A69" s="60">
        <f t="shared" si="0"/>
        <v>62</v>
      </c>
      <c r="B69" s="61">
        <v>22598</v>
      </c>
      <c r="C69" s="62" t="s">
        <v>688</v>
      </c>
      <c r="D69" s="62"/>
      <c r="E69" s="62"/>
      <c r="F69" s="36" t="s">
        <v>380</v>
      </c>
      <c r="G69" s="62"/>
      <c r="H69" s="62"/>
      <c r="I69" s="70" t="s">
        <v>662</v>
      </c>
      <c r="J69" s="36">
        <v>5</v>
      </c>
      <c r="K69" s="36">
        <v>4</v>
      </c>
      <c r="L69" s="36">
        <v>4</v>
      </c>
      <c r="M69" s="36">
        <v>5</v>
      </c>
      <c r="N69" s="36">
        <v>5</v>
      </c>
      <c r="O69" s="36">
        <v>4</v>
      </c>
      <c r="P69" s="36">
        <v>4</v>
      </c>
      <c r="Q69" s="36">
        <v>5</v>
      </c>
      <c r="R69" s="63">
        <f t="shared" si="4"/>
        <v>4.55</v>
      </c>
      <c r="S69" s="64">
        <f t="shared" si="5"/>
        <v>0.90999999999999992</v>
      </c>
      <c r="T69" s="65" t="str">
        <f t="shared" si="6"/>
        <v>Grade-A</v>
      </c>
      <c r="U69" s="148">
        <f>IFERROR(VLOOKUP(F69,Database!F:G,2,0),0)</f>
        <v>900</v>
      </c>
      <c r="V69" s="66">
        <v>0.5</v>
      </c>
      <c r="W69" s="38">
        <f t="shared" si="7"/>
        <v>0.96494559999999996</v>
      </c>
      <c r="X69" s="134">
        <f t="shared" ref="X69" si="19">CEILING($U69*$S69*V69*W69,10)</f>
        <v>400</v>
      </c>
      <c r="Y69" s="66">
        <v>1</v>
      </c>
      <c r="Z69" s="38">
        <f t="shared" si="9"/>
        <v>0.96494559999999996</v>
      </c>
      <c r="AA69" s="134">
        <f t="shared" ref="AA69" si="20">CEILING($U69*$S69*Y69*Z69,10)</f>
        <v>800</v>
      </c>
      <c r="AB69" s="66">
        <v>1</v>
      </c>
      <c r="AC69" s="38">
        <f t="shared" si="11"/>
        <v>0.96494559999999996</v>
      </c>
      <c r="AD69" s="134">
        <f t="shared" ref="AD69" si="21">CEILING($U69*$S69*AB69*AC69,10)</f>
        <v>800</v>
      </c>
      <c r="AE69" s="66">
        <v>1</v>
      </c>
      <c r="AF69" s="38">
        <f t="shared" si="13"/>
        <v>0.72181018113207551</v>
      </c>
      <c r="AG69" s="233">
        <f t="shared" si="14"/>
        <v>600</v>
      </c>
    </row>
    <row r="70" spans="1:33">
      <c r="A70" s="68">
        <f t="shared" si="0"/>
        <v>63</v>
      </c>
      <c r="B70" s="69">
        <v>6195</v>
      </c>
      <c r="C70" s="70" t="s">
        <v>692</v>
      </c>
      <c r="D70" s="70"/>
      <c r="E70" s="70"/>
      <c r="F70" s="83" t="s">
        <v>370</v>
      </c>
      <c r="G70" s="62"/>
      <c r="H70" s="62"/>
      <c r="I70" s="70" t="s">
        <v>662</v>
      </c>
      <c r="J70" s="36">
        <v>4</v>
      </c>
      <c r="K70" s="36">
        <v>5</v>
      </c>
      <c r="L70" s="36">
        <v>5</v>
      </c>
      <c r="M70" s="36">
        <v>5</v>
      </c>
      <c r="N70" s="36">
        <v>5</v>
      </c>
      <c r="O70" s="36">
        <v>5</v>
      </c>
      <c r="P70" s="36">
        <v>5</v>
      </c>
      <c r="Q70" s="36">
        <v>5</v>
      </c>
      <c r="R70" s="63">
        <f t="shared" si="4"/>
        <v>4.7</v>
      </c>
      <c r="S70" s="64">
        <f t="shared" si="5"/>
        <v>0.94000000000000006</v>
      </c>
      <c r="T70" s="65" t="str">
        <f t="shared" si="6"/>
        <v>Grade-A</v>
      </c>
      <c r="U70" s="147">
        <f>IFERROR(VLOOKUP(F70,Database!F:G,2,0),0)</f>
        <v>600</v>
      </c>
      <c r="V70" s="90"/>
      <c r="W70" s="75"/>
      <c r="X70" s="195"/>
      <c r="Y70" s="90"/>
      <c r="Z70" s="75"/>
      <c r="AA70" s="195"/>
      <c r="AB70" s="90"/>
      <c r="AC70" s="75"/>
      <c r="AD70" s="195"/>
      <c r="AE70" s="90">
        <v>1</v>
      </c>
      <c r="AF70" s="75">
        <f t="shared" ref="AF70:AF80" si="22">$AG$6/$AF$6</f>
        <v>0.72181018113207551</v>
      </c>
      <c r="AG70" s="232">
        <f t="shared" si="14"/>
        <v>410</v>
      </c>
    </row>
    <row r="71" spans="1:33">
      <c r="A71" s="68">
        <f t="shared" ref="A71:A80" si="23">IF(B71&lt;&gt;"",ROW()-7,"")</f>
        <v>64</v>
      </c>
      <c r="B71" s="61">
        <v>1087</v>
      </c>
      <c r="C71" s="62" t="s">
        <v>702</v>
      </c>
      <c r="D71" s="62"/>
      <c r="E71" s="62"/>
      <c r="F71" s="36" t="s">
        <v>365</v>
      </c>
      <c r="G71" s="62"/>
      <c r="H71" s="62"/>
      <c r="I71" s="62" t="s">
        <v>360</v>
      </c>
      <c r="J71" s="36">
        <v>5</v>
      </c>
      <c r="K71" s="36">
        <v>4</v>
      </c>
      <c r="L71" s="36">
        <v>5</v>
      </c>
      <c r="M71" s="36">
        <v>5</v>
      </c>
      <c r="N71" s="36">
        <v>5</v>
      </c>
      <c r="O71" s="36">
        <v>5</v>
      </c>
      <c r="P71" s="36">
        <v>5</v>
      </c>
      <c r="Q71" s="36">
        <v>5</v>
      </c>
      <c r="R71" s="63">
        <f t="shared" si="4"/>
        <v>4.8</v>
      </c>
      <c r="S71" s="64">
        <f t="shared" si="5"/>
        <v>0.96</v>
      </c>
      <c r="T71" s="65" t="str">
        <f t="shared" si="6"/>
        <v>Grade-A</v>
      </c>
      <c r="U71" s="148">
        <f>IFERROR(VLOOKUP(F71,Database!F:G,2,0),0)</f>
        <v>1700</v>
      </c>
      <c r="V71" s="66"/>
      <c r="W71" s="38"/>
      <c r="X71" s="134"/>
      <c r="Y71" s="66"/>
      <c r="Z71" s="38"/>
      <c r="AA71" s="134"/>
      <c r="AB71" s="66"/>
      <c r="AC71" s="38"/>
      <c r="AD71" s="134"/>
      <c r="AE71" s="66">
        <v>1</v>
      </c>
      <c r="AF71" s="38">
        <f t="shared" si="22"/>
        <v>0.72181018113207551</v>
      </c>
      <c r="AG71" s="233">
        <f t="shared" si="14"/>
        <v>1180</v>
      </c>
    </row>
    <row r="72" spans="1:33">
      <c r="A72" s="60">
        <f t="shared" si="23"/>
        <v>65</v>
      </c>
      <c r="B72" s="61">
        <v>8845</v>
      </c>
      <c r="C72" s="62" t="s">
        <v>703</v>
      </c>
      <c r="D72" s="62"/>
      <c r="E72" s="62"/>
      <c r="F72" s="36" t="s">
        <v>380</v>
      </c>
      <c r="G72" s="62"/>
      <c r="H72" s="62"/>
      <c r="I72" s="62" t="s">
        <v>360</v>
      </c>
      <c r="J72" s="36">
        <v>5</v>
      </c>
      <c r="K72" s="36">
        <v>4</v>
      </c>
      <c r="L72" s="36">
        <v>5</v>
      </c>
      <c r="M72" s="36">
        <v>5</v>
      </c>
      <c r="N72" s="36">
        <v>5</v>
      </c>
      <c r="O72" s="36">
        <v>4</v>
      </c>
      <c r="P72" s="36">
        <v>5</v>
      </c>
      <c r="Q72" s="36">
        <v>5</v>
      </c>
      <c r="R72" s="63">
        <f t="shared" ref="R72:R80" si="24">IF(B72&lt;&gt;"", J72*0.3 + K72*0.2 + L72*0.1 + M72*0.1 + N72*0.1 + O72*0.1 + P72*0.05 + Q72*0.05, "")</f>
        <v>4.7</v>
      </c>
      <c r="S72" s="64">
        <f t="shared" ref="S72:S80" si="25">IF(B72&lt;&gt;"", (($I$4/5)*J72) + (($J$4/5)*K72) + (($K$4/5)*L72) + (($L$4/5)*M72) + (($M$4/5)*N72) + (($N$4/5)*O72) + (($O$4/5)*P72) + (($P$4/5)*Q72), "")</f>
        <v>0.94</v>
      </c>
      <c r="T72" s="65" t="str">
        <f t="shared" ref="T72:T80" si="26">IF(B72&lt;&gt;"", IF(R72=0, "No-Grade",   IF(AND(R72&gt;=4.5, R72&lt;=5), "Grade-A",   IF(AND(R72&gt;=3, R72&lt;4.5), "Grade-B",   IF(AND(R72&gt;=2, R72&lt;3), "Grade-C",   IF(R72&lt;2, "Grade-D",   "Grade-D"))))), "")</f>
        <v>Grade-A</v>
      </c>
      <c r="U72" s="148">
        <f>IFERROR(VLOOKUP(F72,Database!F:G,2,0),0)</f>
        <v>900</v>
      </c>
      <c r="V72" s="66"/>
      <c r="W72" s="38"/>
      <c r="X72" s="134"/>
      <c r="Y72" s="66"/>
      <c r="Z72" s="38"/>
      <c r="AA72" s="134"/>
      <c r="AB72" s="66"/>
      <c r="AC72" s="38"/>
      <c r="AD72" s="134"/>
      <c r="AE72" s="66">
        <v>1</v>
      </c>
      <c r="AF72" s="38">
        <f t="shared" si="22"/>
        <v>0.72181018113207551</v>
      </c>
      <c r="AG72" s="233">
        <f t="shared" ref="AG72:AG80" si="27">CEILING($S72*$U72*AE72*AF72,10)</f>
        <v>620</v>
      </c>
    </row>
    <row r="73" spans="1:33">
      <c r="A73" s="68">
        <f t="shared" si="23"/>
        <v>66</v>
      </c>
      <c r="B73" s="61">
        <v>23255</v>
      </c>
      <c r="C73" s="62" t="s">
        <v>704</v>
      </c>
      <c r="D73" s="62"/>
      <c r="E73" s="62"/>
      <c r="F73" s="36" t="s">
        <v>380</v>
      </c>
      <c r="G73" s="62"/>
      <c r="H73" s="62"/>
      <c r="I73" s="62" t="s">
        <v>360</v>
      </c>
      <c r="J73" s="36">
        <v>5</v>
      </c>
      <c r="K73" s="36">
        <v>5</v>
      </c>
      <c r="L73" s="36">
        <v>5</v>
      </c>
      <c r="M73" s="36">
        <v>4</v>
      </c>
      <c r="N73" s="36">
        <v>5</v>
      </c>
      <c r="O73" s="36">
        <v>4</v>
      </c>
      <c r="P73" s="36">
        <v>5</v>
      </c>
      <c r="Q73" s="36">
        <v>4</v>
      </c>
      <c r="R73" s="63">
        <f t="shared" si="24"/>
        <v>4.75</v>
      </c>
      <c r="S73" s="64">
        <f t="shared" si="25"/>
        <v>0.95</v>
      </c>
      <c r="T73" s="65" t="str">
        <f t="shared" si="26"/>
        <v>Grade-A</v>
      </c>
      <c r="U73" s="148">
        <f>IFERROR(VLOOKUP(F73,Database!F:G,2,0),0)</f>
        <v>900</v>
      </c>
      <c r="V73" s="66"/>
      <c r="W73" s="38"/>
      <c r="X73" s="134"/>
      <c r="Y73" s="66"/>
      <c r="Z73" s="38"/>
      <c r="AA73" s="134"/>
      <c r="AB73" s="66"/>
      <c r="AC73" s="38"/>
      <c r="AD73" s="134"/>
      <c r="AE73" s="66">
        <v>1</v>
      </c>
      <c r="AF73" s="38">
        <f t="shared" si="22"/>
        <v>0.72181018113207551</v>
      </c>
      <c r="AG73" s="233">
        <f t="shared" si="27"/>
        <v>620</v>
      </c>
    </row>
    <row r="74" spans="1:33">
      <c r="A74" s="68">
        <f t="shared" si="23"/>
        <v>67</v>
      </c>
      <c r="B74" s="61">
        <v>7939</v>
      </c>
      <c r="C74" s="62" t="s">
        <v>705</v>
      </c>
      <c r="D74" s="62"/>
      <c r="E74" s="62"/>
      <c r="F74" s="36" t="s">
        <v>370</v>
      </c>
      <c r="G74" s="62"/>
      <c r="H74" s="62"/>
      <c r="I74" s="62" t="s">
        <v>360</v>
      </c>
      <c r="J74" s="36">
        <v>5</v>
      </c>
      <c r="K74" s="36">
        <v>5</v>
      </c>
      <c r="L74" s="36">
        <v>5</v>
      </c>
      <c r="M74" s="36">
        <v>4</v>
      </c>
      <c r="N74" s="36">
        <v>5</v>
      </c>
      <c r="O74" s="36">
        <v>4</v>
      </c>
      <c r="P74" s="36">
        <v>5</v>
      </c>
      <c r="Q74" s="36">
        <v>4</v>
      </c>
      <c r="R74" s="63">
        <f t="shared" si="24"/>
        <v>4.75</v>
      </c>
      <c r="S74" s="64">
        <f t="shared" si="25"/>
        <v>0.95</v>
      </c>
      <c r="T74" s="65" t="str">
        <f t="shared" si="26"/>
        <v>Grade-A</v>
      </c>
      <c r="U74" s="148">
        <f>IFERROR(VLOOKUP(F74,Database!F:G,2,0),0)</f>
        <v>600</v>
      </c>
      <c r="V74" s="66"/>
      <c r="W74" s="38"/>
      <c r="X74" s="134"/>
      <c r="Y74" s="66"/>
      <c r="Z74" s="38"/>
      <c r="AA74" s="134"/>
      <c r="AB74" s="66"/>
      <c r="AC74" s="38"/>
      <c r="AD74" s="134"/>
      <c r="AE74" s="66">
        <v>1</v>
      </c>
      <c r="AF74" s="38">
        <f t="shared" si="22"/>
        <v>0.72181018113207551</v>
      </c>
      <c r="AG74" s="233">
        <f t="shared" si="27"/>
        <v>420</v>
      </c>
    </row>
    <row r="75" spans="1:33">
      <c r="A75" s="60">
        <v>69</v>
      </c>
      <c r="B75" s="61">
        <v>28484</v>
      </c>
      <c r="C75" s="62" t="s">
        <v>723</v>
      </c>
      <c r="D75" s="62"/>
      <c r="E75" s="62"/>
      <c r="F75" s="36" t="s">
        <v>396</v>
      </c>
      <c r="G75" s="62"/>
      <c r="H75" s="62"/>
      <c r="I75" s="62" t="s">
        <v>360</v>
      </c>
      <c r="J75" s="36">
        <v>4</v>
      </c>
      <c r="K75" s="36">
        <v>4</v>
      </c>
      <c r="L75" s="36">
        <v>5</v>
      </c>
      <c r="M75" s="36">
        <v>5</v>
      </c>
      <c r="N75" s="36">
        <v>5</v>
      </c>
      <c r="O75" s="36">
        <v>5</v>
      </c>
      <c r="P75" s="36">
        <v>5</v>
      </c>
      <c r="Q75" s="36">
        <v>5</v>
      </c>
      <c r="R75" s="63">
        <f t="shared" si="24"/>
        <v>4.5</v>
      </c>
      <c r="S75" s="64">
        <f t="shared" si="25"/>
        <v>0.9</v>
      </c>
      <c r="T75" s="65" t="str">
        <f t="shared" si="26"/>
        <v>Grade-A</v>
      </c>
      <c r="U75" s="148">
        <f>IFERROR(VLOOKUP(F75,Database!F:G,2,0),0)</f>
        <v>2000</v>
      </c>
      <c r="V75" s="66"/>
      <c r="W75" s="38"/>
      <c r="X75" s="134"/>
      <c r="Y75" s="66"/>
      <c r="Z75" s="38"/>
      <c r="AA75" s="134"/>
      <c r="AB75" s="66"/>
      <c r="AC75" s="38"/>
      <c r="AD75" s="134"/>
      <c r="AE75" s="66">
        <v>1</v>
      </c>
      <c r="AF75" s="38">
        <f t="shared" si="22"/>
        <v>0.72181018113207551</v>
      </c>
      <c r="AG75" s="233">
        <f t="shared" si="27"/>
        <v>1300</v>
      </c>
    </row>
    <row r="76" spans="1:33">
      <c r="A76" s="60">
        <f t="shared" si="23"/>
        <v>69</v>
      </c>
      <c r="B76" s="61">
        <v>2146</v>
      </c>
      <c r="C76" s="62" t="s">
        <v>690</v>
      </c>
      <c r="D76" s="62"/>
      <c r="E76" s="62"/>
      <c r="F76" s="36" t="s">
        <v>409</v>
      </c>
      <c r="G76" s="62"/>
      <c r="H76" s="62"/>
      <c r="I76" s="62" t="s">
        <v>360</v>
      </c>
      <c r="J76" s="36">
        <v>5</v>
      </c>
      <c r="K76" s="36">
        <v>5</v>
      </c>
      <c r="L76" s="36">
        <v>5</v>
      </c>
      <c r="M76" s="36">
        <v>5</v>
      </c>
      <c r="N76" s="36">
        <v>4</v>
      </c>
      <c r="O76" s="36">
        <v>4</v>
      </c>
      <c r="P76" s="36">
        <v>5</v>
      </c>
      <c r="Q76" s="36">
        <v>5</v>
      </c>
      <c r="R76" s="63">
        <f t="shared" si="24"/>
        <v>4.8</v>
      </c>
      <c r="S76" s="64">
        <f t="shared" si="25"/>
        <v>0.96</v>
      </c>
      <c r="T76" s="65" t="str">
        <f t="shared" si="26"/>
        <v>Grade-A</v>
      </c>
      <c r="U76" s="148">
        <f>IFERROR(VLOOKUP(F76,Database!F:G,2,0),0)</f>
        <v>600</v>
      </c>
      <c r="V76" s="66">
        <v>0.5</v>
      </c>
      <c r="W76" s="38">
        <f t="shared" si="7"/>
        <v>0.96494559999999996</v>
      </c>
      <c r="X76" s="134">
        <f t="shared" ref="X76" si="28">CEILING($U76*$S76*V76*W76,10)</f>
        <v>280</v>
      </c>
      <c r="Y76" s="66">
        <v>1</v>
      </c>
      <c r="Z76" s="38">
        <f t="shared" si="9"/>
        <v>0.96494559999999996</v>
      </c>
      <c r="AA76" s="134">
        <f t="shared" ref="AA76" si="29">CEILING($U76*$S76*Y76*Z76,10)</f>
        <v>560</v>
      </c>
      <c r="AB76" s="66">
        <v>1</v>
      </c>
      <c r="AC76" s="38">
        <f t="shared" si="11"/>
        <v>0.96494559999999996</v>
      </c>
      <c r="AD76" s="134">
        <f t="shared" ref="AD76" si="30">CEILING($U76*$S76*AB76*AC76,10)</f>
        <v>560</v>
      </c>
      <c r="AE76" s="66">
        <v>1</v>
      </c>
      <c r="AF76" s="38">
        <f t="shared" si="22"/>
        <v>0.72181018113207551</v>
      </c>
      <c r="AG76" s="233">
        <f t="shared" si="27"/>
        <v>420</v>
      </c>
    </row>
    <row r="77" spans="1:33">
      <c r="A77" s="60">
        <v>70</v>
      </c>
      <c r="B77" s="96">
        <v>3920</v>
      </c>
      <c r="C77" s="62" t="s">
        <v>771</v>
      </c>
      <c r="D77" s="62"/>
      <c r="E77" s="62"/>
      <c r="F77" s="369" t="s">
        <v>379</v>
      </c>
      <c r="G77" s="62"/>
      <c r="H77" s="62"/>
      <c r="I77" s="62" t="s">
        <v>772</v>
      </c>
      <c r="J77" s="36">
        <v>3</v>
      </c>
      <c r="K77" s="36">
        <v>4</v>
      </c>
      <c r="L77" s="36">
        <v>4</v>
      </c>
      <c r="M77" s="36">
        <v>3</v>
      </c>
      <c r="N77" s="36">
        <v>4</v>
      </c>
      <c r="O77" s="36">
        <v>4</v>
      </c>
      <c r="P77" s="36">
        <v>4</v>
      </c>
      <c r="Q77" s="36">
        <v>4</v>
      </c>
      <c r="R77" s="63">
        <f t="shared" si="24"/>
        <v>3.6000000000000005</v>
      </c>
      <c r="S77" s="64">
        <f t="shared" si="25"/>
        <v>0.72</v>
      </c>
      <c r="T77" s="65" t="str">
        <f t="shared" si="26"/>
        <v>Grade-B</v>
      </c>
      <c r="U77" s="148">
        <f>IFERROR(VLOOKUP(F77,Database!F:G,2,0),0)</f>
        <v>700</v>
      </c>
      <c r="V77" s="66"/>
      <c r="W77" s="38"/>
      <c r="X77" s="134"/>
      <c r="Y77" s="66"/>
      <c r="Z77" s="38"/>
      <c r="AA77" s="134"/>
      <c r="AB77" s="66"/>
      <c r="AC77" s="38"/>
      <c r="AD77" s="134"/>
      <c r="AE77" s="66">
        <v>0.52</v>
      </c>
      <c r="AF77" s="38">
        <f t="shared" si="22"/>
        <v>0.72181018113207551</v>
      </c>
      <c r="AG77" s="368">
        <f t="shared" si="27"/>
        <v>190</v>
      </c>
    </row>
    <row r="78" spans="1:33">
      <c r="A78" s="60">
        <v>71</v>
      </c>
      <c r="B78" s="61">
        <v>6739</v>
      </c>
      <c r="C78" s="62" t="s">
        <v>632</v>
      </c>
      <c r="D78" s="62"/>
      <c r="E78" s="62"/>
      <c r="F78" s="36" t="s">
        <v>375</v>
      </c>
      <c r="G78" s="62"/>
      <c r="H78" s="62"/>
      <c r="I78" s="62" t="s">
        <v>360</v>
      </c>
      <c r="J78" s="36">
        <v>3</v>
      </c>
      <c r="K78" s="36">
        <v>4</v>
      </c>
      <c r="L78" s="36">
        <v>3</v>
      </c>
      <c r="M78" s="36">
        <v>4</v>
      </c>
      <c r="N78" s="36">
        <v>3</v>
      </c>
      <c r="O78" s="36">
        <v>4</v>
      </c>
      <c r="P78" s="36">
        <v>3</v>
      </c>
      <c r="Q78" s="36">
        <v>4</v>
      </c>
      <c r="R78" s="63">
        <f t="shared" si="24"/>
        <v>3.45</v>
      </c>
      <c r="S78" s="64">
        <f t="shared" si="25"/>
        <v>0.69000000000000006</v>
      </c>
      <c r="T78" s="65" t="str">
        <f t="shared" si="26"/>
        <v>Grade-B</v>
      </c>
      <c r="U78" s="148">
        <f>IFERROR(VLOOKUP(F78,Database!F:G,2,0),0)</f>
        <v>800</v>
      </c>
      <c r="V78" s="66"/>
      <c r="W78" s="38"/>
      <c r="X78" s="134"/>
      <c r="Y78" s="66"/>
      <c r="Z78" s="38"/>
      <c r="AA78" s="134"/>
      <c r="AB78" s="66"/>
      <c r="AC78" s="38"/>
      <c r="AD78" s="134"/>
      <c r="AE78" s="66">
        <v>1</v>
      </c>
      <c r="AF78" s="38">
        <f t="shared" si="22"/>
        <v>0.72181018113207551</v>
      </c>
      <c r="AG78" s="233">
        <f t="shared" si="27"/>
        <v>400</v>
      </c>
    </row>
    <row r="79" spans="1:33">
      <c r="A79" s="60">
        <v>72</v>
      </c>
      <c r="B79" s="61">
        <v>6143</v>
      </c>
      <c r="C79" s="62" t="s">
        <v>700</v>
      </c>
      <c r="D79" s="62" t="s">
        <v>185</v>
      </c>
      <c r="E79" s="62" t="s">
        <v>366</v>
      </c>
      <c r="F79" s="36" t="s">
        <v>380</v>
      </c>
      <c r="G79" s="62"/>
      <c r="H79" s="62"/>
      <c r="I79" s="62" t="s">
        <v>360</v>
      </c>
      <c r="J79" s="36">
        <v>3</v>
      </c>
      <c r="K79" s="36">
        <v>4</v>
      </c>
      <c r="L79" s="36">
        <v>3</v>
      </c>
      <c r="M79" s="36">
        <v>4</v>
      </c>
      <c r="N79" s="36">
        <v>3</v>
      </c>
      <c r="O79" s="36">
        <v>4</v>
      </c>
      <c r="P79" s="36">
        <v>4</v>
      </c>
      <c r="Q79" s="36">
        <v>4</v>
      </c>
      <c r="R79" s="63">
        <f t="shared" si="24"/>
        <v>3.5000000000000004</v>
      </c>
      <c r="S79" s="64">
        <f t="shared" si="25"/>
        <v>0.70000000000000007</v>
      </c>
      <c r="T79" s="65" t="str">
        <f t="shared" si="26"/>
        <v>Grade-B</v>
      </c>
      <c r="U79" s="148">
        <f>IFERROR(VLOOKUP(F79,Database!F:G,2,0),0)</f>
        <v>900</v>
      </c>
      <c r="V79" s="66"/>
      <c r="W79" s="38"/>
      <c r="X79" s="134"/>
      <c r="Y79" s="66"/>
      <c r="Z79" s="38"/>
      <c r="AA79" s="134"/>
      <c r="AB79" s="66"/>
      <c r="AC79" s="38"/>
      <c r="AD79" s="134"/>
      <c r="AE79" s="66">
        <v>1</v>
      </c>
      <c r="AF79" s="38">
        <f t="shared" si="22"/>
        <v>0.72181018113207551</v>
      </c>
      <c r="AG79" s="233">
        <f t="shared" si="27"/>
        <v>460</v>
      </c>
    </row>
    <row r="80" spans="1:33" s="41" customFormat="1">
      <c r="A80" s="68">
        <f t="shared" si="23"/>
        <v>73</v>
      </c>
      <c r="B80" s="69">
        <v>27818</v>
      </c>
      <c r="C80" s="70" t="s">
        <v>685</v>
      </c>
      <c r="D80" s="70" t="s">
        <v>304</v>
      </c>
      <c r="E80" s="70" t="s">
        <v>304</v>
      </c>
      <c r="F80" s="36" t="s">
        <v>401</v>
      </c>
      <c r="G80" s="204" t="s">
        <v>401</v>
      </c>
      <c r="H80" s="70"/>
      <c r="I80" s="69" t="s">
        <v>360</v>
      </c>
      <c r="J80" s="36">
        <v>4</v>
      </c>
      <c r="K80" s="36">
        <v>4</v>
      </c>
      <c r="L80" s="36">
        <v>5</v>
      </c>
      <c r="M80" s="36">
        <v>4</v>
      </c>
      <c r="N80" s="36">
        <v>5</v>
      </c>
      <c r="O80" s="36">
        <v>4</v>
      </c>
      <c r="P80" s="36">
        <v>5</v>
      </c>
      <c r="Q80" s="36">
        <v>5</v>
      </c>
      <c r="R80" s="63">
        <f t="shared" si="24"/>
        <v>4.3</v>
      </c>
      <c r="S80" s="64">
        <f t="shared" si="25"/>
        <v>0.86</v>
      </c>
      <c r="T80" s="65" t="str">
        <f t="shared" si="26"/>
        <v>Grade-B</v>
      </c>
      <c r="U80" s="147">
        <f>IFERROR(VLOOKUP(F80,Database!F:G,2,0),0)</f>
        <v>1100</v>
      </c>
      <c r="V80" s="66">
        <v>1.2</v>
      </c>
      <c r="W80" s="91">
        <v>0.96494559999999996</v>
      </c>
      <c r="X80" s="134">
        <v>1220</v>
      </c>
      <c r="Y80" s="66">
        <v>1</v>
      </c>
      <c r="Z80" s="91">
        <v>0.96494559999999996</v>
      </c>
      <c r="AA80" s="134">
        <v>1010</v>
      </c>
      <c r="AB80" s="66">
        <v>0.26</v>
      </c>
      <c r="AC80" s="91">
        <v>0.96494559999999996</v>
      </c>
      <c r="AD80" s="134">
        <v>270</v>
      </c>
      <c r="AE80" s="66">
        <v>1</v>
      </c>
      <c r="AF80" s="91">
        <f t="shared" si="22"/>
        <v>0.72181018113207551</v>
      </c>
      <c r="AG80" s="233">
        <f t="shared" si="27"/>
        <v>690</v>
      </c>
    </row>
    <row r="81" spans="21:33">
      <c r="U81" s="175">
        <f>SUM(U8:U80)</f>
        <v>65100</v>
      </c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364">
        <f>SUM(AG8:AG80)</f>
        <v>36990</v>
      </c>
    </row>
  </sheetData>
  <autoFilter ref="A7:X81"/>
  <mergeCells count="3">
    <mergeCell ref="A1:T1"/>
    <mergeCell ref="C2:J2"/>
    <mergeCell ref="C3:J3"/>
  </mergeCells>
  <phoneticPr fontId="3" type="noConversion"/>
  <dataValidations count="5">
    <dataValidation allowBlank="1" showInputMessage="1" showErrorMessage="1" prompt="The lowest level of performance. Requires drastic changes for improvement." sqref="N6"/>
    <dataValidation allowBlank="1" showInputMessage="1" showErrorMessage="1" prompt="Performance below expectations. Needs development and significant improvements." sqref="M6"/>
    <dataValidation allowBlank="1" showInputMessage="1" showErrorMessage="1" prompt="Acceptable performance with satisfactory results. Some aspects can be improved." sqref="L6"/>
    <dataValidation allowBlank="1" showInputMessage="1" showErrorMessage="1" prompt="Strong performance with positive results. Shows commitment and excellence." sqref="K6"/>
    <dataValidation allowBlank="1" showInputMessage="1" showErrorMessage="1" prompt="Represents the highest level of performance. Outstanding and exceptional achievements." sqref="J6"/>
  </dataValidations>
  <pageMargins left="0.7" right="0.7" top="0.75" bottom="0.75" header="0.3" footer="0.3"/>
  <pageSetup paperSize="9" scale="49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Database!$F$2:$F$47</xm:f>
          </x14:formula1>
          <xm:sqref>F8:F11 F80:G80 F64:F79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2:O24"/>
  <sheetViews>
    <sheetView topLeftCell="B8" zoomScale="115" zoomScaleNormal="145" workbookViewId="0">
      <selection activeCell="E17" sqref="E17"/>
    </sheetView>
  </sheetViews>
  <sheetFormatPr defaultColWidth="8.6875" defaultRowHeight="13.5"/>
  <cols>
    <col min="1" max="1" width="0" style="8" hidden="1" customWidth="1"/>
    <col min="2" max="2" width="27.875" style="8" customWidth="1"/>
    <col min="3" max="3" width="13.125" style="8" hidden="1" customWidth="1"/>
    <col min="4" max="4" width="16.25" style="8" hidden="1" customWidth="1"/>
    <col min="5" max="5" width="36.875" style="8" customWidth="1"/>
    <col min="6" max="6" width="25.6875" style="8" hidden="1" customWidth="1"/>
    <col min="7" max="9" width="0" style="8" hidden="1" customWidth="1"/>
    <col min="10" max="10" width="9.6875" style="8" hidden="1" customWidth="1"/>
    <col min="11" max="11" width="8.6875" style="8" hidden="1" customWidth="1"/>
    <col min="12" max="12" width="10.875" style="8" hidden="1" customWidth="1"/>
    <col min="13" max="15" width="0" style="8" hidden="1" customWidth="1"/>
    <col min="16" max="16" width="11.875" style="8" customWidth="1"/>
    <col min="17" max="16384" width="8.6875" style="8"/>
  </cols>
  <sheetData>
    <row r="2" spans="1:15">
      <c r="E2" s="10"/>
    </row>
    <row r="3" spans="1:15">
      <c r="E3" s="11"/>
    </row>
    <row r="5" spans="1:15" s="29" customFormat="1" ht="39.6" customHeight="1" thickBot="1">
      <c r="B5" s="396" t="s">
        <v>789</v>
      </c>
      <c r="C5" s="396"/>
      <c r="D5" s="396"/>
      <c r="E5" s="396"/>
      <c r="F5" s="396"/>
    </row>
    <row r="6" spans="1:15" ht="13.9" hidden="1" thickBot="1">
      <c r="B6" s="8" t="s">
        <v>430</v>
      </c>
    </row>
    <row r="7" spans="1:15" ht="13.35" hidden="1" customHeight="1" thickBot="1">
      <c r="B7" s="8" t="s">
        <v>431</v>
      </c>
    </row>
    <row r="8" spans="1:15" ht="51" customHeight="1" thickBot="1">
      <c r="B8" s="165" t="s">
        <v>669</v>
      </c>
      <c r="C8" s="166" t="s">
        <v>418</v>
      </c>
      <c r="D8" s="167" t="s">
        <v>419</v>
      </c>
      <c r="E8" s="166" t="s">
        <v>670</v>
      </c>
      <c r="F8" s="9" t="s">
        <v>189</v>
      </c>
      <c r="G8" s="14">
        <v>10</v>
      </c>
      <c r="H8" s="14">
        <v>11</v>
      </c>
    </row>
    <row r="9" spans="1:15" ht="30" customHeight="1">
      <c r="A9" s="13">
        <f>Management!P2</f>
        <v>1</v>
      </c>
      <c r="B9" s="269" t="s">
        <v>671</v>
      </c>
      <c r="C9" s="21" t="e">
        <f>Management!#REF!</f>
        <v>#REF!</v>
      </c>
      <c r="D9" s="21" t="e">
        <f>Management!#REF!</f>
        <v>#REF!</v>
      </c>
      <c r="E9" s="21">
        <f>Management!AF19</f>
        <v>5610</v>
      </c>
      <c r="F9" s="21" t="e">
        <f t="shared" ref="F9:F16" si="0">C9+D9</f>
        <v>#REF!</v>
      </c>
      <c r="G9" s="15" t="e">
        <f>C9/C17</f>
        <v>#REF!</v>
      </c>
      <c r="H9" s="15" t="e">
        <f>D9/D17</f>
        <v>#REF!</v>
      </c>
      <c r="I9" s="30">
        <f>E9/E17</f>
        <v>2.3375973998916621E-2</v>
      </c>
    </row>
    <row r="10" spans="1:15" ht="30" customHeight="1">
      <c r="A10" s="13">
        <f>Production!P2</f>
        <v>225</v>
      </c>
      <c r="B10" s="373" t="s">
        <v>413</v>
      </c>
      <c r="C10" s="374" t="e">
        <f>Production!#REF!</f>
        <v>#REF!</v>
      </c>
      <c r="D10" s="374" t="e">
        <f>Production!#REF!</f>
        <v>#REF!</v>
      </c>
      <c r="E10" s="374">
        <f>Production!AG233</f>
        <v>126170</v>
      </c>
      <c r="F10" s="350" t="e">
        <f t="shared" si="0"/>
        <v>#REF!</v>
      </c>
      <c r="G10" s="351" t="e">
        <f>C10/C17</f>
        <v>#REF!</v>
      </c>
      <c r="H10" s="351" t="e">
        <f>D10/D17</f>
        <v>#REF!</v>
      </c>
      <c r="I10" s="352">
        <f>E10/E17</f>
        <v>0.52573023875994829</v>
      </c>
      <c r="J10" s="353"/>
      <c r="K10" s="353"/>
      <c r="L10" s="353"/>
      <c r="M10" s="353"/>
      <c r="N10" s="353"/>
      <c r="O10" s="353"/>
    </row>
    <row r="11" spans="1:15" ht="30" customHeight="1">
      <c r="A11" s="13">
        <f>Technical!P2</f>
        <v>5</v>
      </c>
      <c r="B11" s="373" t="s">
        <v>414</v>
      </c>
      <c r="C11" s="374" t="e">
        <f>Technical!#REF!</f>
        <v>#REF!</v>
      </c>
      <c r="D11" s="374" t="e">
        <f>Technical!#REF!</f>
        <v>#REF!</v>
      </c>
      <c r="E11" s="374">
        <f>Technical!AF13</f>
        <v>5960</v>
      </c>
      <c r="F11" s="22" t="e">
        <f t="shared" si="0"/>
        <v>#REF!</v>
      </c>
      <c r="G11" s="15" t="e">
        <f>C11/C17</f>
        <v>#REF!</v>
      </c>
      <c r="H11" s="15" t="e">
        <f>D11/D17</f>
        <v>#REF!</v>
      </c>
      <c r="I11" s="30">
        <f>E11/E17</f>
        <v>2.4834368098670779E-2</v>
      </c>
    </row>
    <row r="12" spans="1:15" ht="30" customHeight="1">
      <c r="A12" s="13">
        <f>Hollowcore!P2</f>
        <v>41</v>
      </c>
      <c r="B12" s="373" t="s">
        <v>415</v>
      </c>
      <c r="C12" s="374" t="e">
        <f>Hollowcore!#REF!</f>
        <v>#REF!</v>
      </c>
      <c r="D12" s="374" t="e">
        <f>Hollowcore!#REF!</f>
        <v>#REF!</v>
      </c>
      <c r="E12" s="374">
        <f>Hollowcore!AF49</f>
        <v>19030</v>
      </c>
      <c r="F12" s="22" t="e">
        <f t="shared" si="0"/>
        <v>#REF!</v>
      </c>
      <c r="G12" s="15" t="e">
        <f>C12/C17</f>
        <v>#REF!</v>
      </c>
      <c r="H12" s="15" t="e">
        <f>D12/D17</f>
        <v>#REF!</v>
      </c>
      <c r="I12" s="30" cm="1">
        <f t="array" ref="I12:L12">E12/E17:H17</f>
        <v>7.9294970623775995E-2</v>
      </c>
      <c r="J12" s="8" t="e">
        <v>#REF!</v>
      </c>
      <c r="K12" s="8" t="e">
        <v>#REF!</v>
      </c>
      <c r="L12" s="8" t="e">
        <v>#DIV/0!</v>
      </c>
    </row>
    <row r="13" spans="1:15" ht="30" customHeight="1">
      <c r="A13" s="13">
        <f>QC!P2</f>
        <v>14</v>
      </c>
      <c r="B13" s="373" t="s">
        <v>416</v>
      </c>
      <c r="C13" s="374" t="e">
        <f>QC!#REF!</f>
        <v>#REF!</v>
      </c>
      <c r="D13" s="374" t="e">
        <f>QC!#REF!</f>
        <v>#REF!</v>
      </c>
      <c r="E13" s="374">
        <f>QC!AF22</f>
        <v>9840</v>
      </c>
      <c r="F13" s="350" t="e">
        <f t="shared" si="0"/>
        <v>#REF!</v>
      </c>
      <c r="G13" s="351" t="e">
        <f>C13/C17</f>
        <v>#REF!</v>
      </c>
      <c r="H13" s="351" t="e">
        <f>D13/D17</f>
        <v>#REF!</v>
      </c>
      <c r="I13" s="352">
        <f>E13/E17</f>
        <v>4.1001708404516855E-2</v>
      </c>
      <c r="J13" s="353"/>
      <c r="K13" s="353"/>
      <c r="L13" s="353"/>
      <c r="M13" s="353"/>
      <c r="N13" s="353"/>
      <c r="O13" s="353"/>
    </row>
    <row r="14" spans="1:15" ht="30" customHeight="1">
      <c r="A14" s="13">
        <f>Maintenance!Q2</f>
        <v>11</v>
      </c>
      <c r="B14" s="377" t="s">
        <v>417</v>
      </c>
      <c r="C14" s="378" t="e">
        <f>Maintenance!#REF!</f>
        <v>#REF!</v>
      </c>
      <c r="D14" s="378" t="e">
        <f>Maintenance!#REF!</f>
        <v>#REF!</v>
      </c>
      <c r="E14" s="378">
        <f>Maintenance!AG19</f>
        <v>9670</v>
      </c>
      <c r="F14" s="22" t="e">
        <f t="shared" si="0"/>
        <v>#REF!</v>
      </c>
      <c r="G14" s="15" t="e">
        <f>C14/C17</f>
        <v>#REF!</v>
      </c>
      <c r="H14" s="15" t="e">
        <f>D14/D17</f>
        <v>#REF!</v>
      </c>
      <c r="I14" s="30">
        <f>E14/E17</f>
        <v>4.0293345556064834E-2</v>
      </c>
    </row>
    <row r="15" spans="1:15" ht="30" customHeight="1">
      <c r="A15" s="13"/>
      <c r="B15" s="375" t="s">
        <v>621</v>
      </c>
      <c r="C15" s="376"/>
      <c r="D15" s="376"/>
      <c r="E15" s="376">
        <f>SCM!AG81</f>
        <v>36990</v>
      </c>
      <c r="F15" s="23"/>
      <c r="G15" s="15"/>
      <c r="H15" s="15"/>
      <c r="I15" s="30">
        <f>E15/E17</f>
        <v>0.15413142214258926</v>
      </c>
    </row>
    <row r="16" spans="1:15" ht="30" customHeight="1" thickBot="1">
      <c r="A16" s="13">
        <f>Installation!Q2</f>
        <v>41</v>
      </c>
      <c r="B16" s="375" t="s">
        <v>628</v>
      </c>
      <c r="C16" s="376" t="e">
        <f>Installation!#REF!</f>
        <v>#REF!</v>
      </c>
      <c r="D16" s="376" t="e">
        <f>Installation!#REF!</f>
        <v>#REF!</v>
      </c>
      <c r="E16" s="376">
        <f>Installation!AG49</f>
        <v>26720</v>
      </c>
      <c r="F16" s="354" t="e">
        <f t="shared" si="0"/>
        <v>#REF!</v>
      </c>
      <c r="G16" s="351" t="e">
        <f>C16/C17</f>
        <v>#REF!</v>
      </c>
      <c r="H16" s="351" t="e">
        <f>D16/D17</f>
        <v>#REF!</v>
      </c>
      <c r="I16" s="352">
        <f>E16/E17</f>
        <v>0.11133797241551731</v>
      </c>
      <c r="J16" s="353"/>
      <c r="K16" s="353"/>
      <c r="L16" s="353"/>
      <c r="M16" s="353"/>
      <c r="N16" s="353"/>
      <c r="O16" s="353"/>
    </row>
    <row r="17" spans="1:12" ht="36" customHeight="1" thickBot="1">
      <c r="A17" s="8">
        <f>SUM(A9:A16)</f>
        <v>338</v>
      </c>
      <c r="B17" s="24" t="s">
        <v>189</v>
      </c>
      <c r="C17" s="25" t="e">
        <f>SUM(C9:C16)</f>
        <v>#REF!</v>
      </c>
      <c r="D17" s="25" t="e">
        <f>SUM(D9:D16)</f>
        <v>#REF!</v>
      </c>
      <c r="E17" s="25">
        <f>SUM(E9:E16)</f>
        <v>239990</v>
      </c>
      <c r="F17" s="25" t="e">
        <f>SUM(F9:F16)</f>
        <v>#REF!</v>
      </c>
      <c r="G17" s="17" t="e">
        <f>C17+D17</f>
        <v>#REF!</v>
      </c>
    </row>
    <row r="18" spans="1:12" ht="26.45" customHeight="1" thickBot="1">
      <c r="B18" s="26" t="s">
        <v>427</v>
      </c>
      <c r="C18" s="27">
        <v>2481093</v>
      </c>
      <c r="D18" s="27">
        <v>3133617.9240000029</v>
      </c>
      <c r="E18" s="27">
        <f>Management!AF6</f>
        <v>3825593.96</v>
      </c>
      <c r="F18" s="27">
        <f>C18+D18</f>
        <v>5614710.9240000024</v>
      </c>
      <c r="J18" s="12">
        <v>23342091</v>
      </c>
      <c r="K18" s="12">
        <v>2481093</v>
      </c>
      <c r="L18" s="17">
        <f>D18+J18+K18+I18</f>
        <v>28956801.924000002</v>
      </c>
    </row>
    <row r="19" spans="1:12" ht="38.450000000000003" customHeight="1" thickBot="1">
      <c r="B19" s="168" t="s">
        <v>428</v>
      </c>
      <c r="C19" s="169" t="e">
        <f>C17/C18</f>
        <v>#REF!</v>
      </c>
      <c r="D19" s="169" t="e">
        <f>D17/D18</f>
        <v>#REF!</v>
      </c>
      <c r="E19" s="169">
        <f>E17/E18</f>
        <v>6.2732742290297849E-2</v>
      </c>
      <c r="F19" s="28" t="e">
        <f>F17/F18</f>
        <v>#REF!</v>
      </c>
      <c r="L19" s="16">
        <f>L18*0.1</f>
        <v>2895680.1924000005</v>
      </c>
    </row>
    <row r="20" spans="1:12" ht="18.600000000000001" customHeight="1" thickBot="1">
      <c r="C20" s="18" t="e">
        <f>Management!T19+Production!U206+Technical!#REF!+Hollowcore!T33+QC!T22+Maintenance!U19+Installation!#REF!</f>
        <v>#REF!</v>
      </c>
      <c r="L20" s="8">
        <v>1693000</v>
      </c>
    </row>
    <row r="21" spans="1:12" ht="19.350000000000001" customHeight="1" thickBot="1">
      <c r="C21" s="20">
        <v>4000000</v>
      </c>
      <c r="L21" s="8">
        <v>820000</v>
      </c>
    </row>
    <row r="22" spans="1:12" ht="19.350000000000001" customHeight="1" thickBot="1">
      <c r="C22" s="19" t="e">
        <f>C20/C21</f>
        <v>#REF!</v>
      </c>
      <c r="L22" s="16">
        <f>L20+L21</f>
        <v>2513000</v>
      </c>
    </row>
    <row r="23" spans="1:12">
      <c r="L23" s="16">
        <f>L19-L22</f>
        <v>382680.19240000052</v>
      </c>
    </row>
    <row r="24" spans="1:12">
      <c r="L24" s="16" t="e">
        <f>L23-C17-D17</f>
        <v>#REF!</v>
      </c>
    </row>
  </sheetData>
  <mergeCells count="1">
    <mergeCell ref="B5:F5"/>
  </mergeCells>
  <phoneticPr fontId="3" type="noConversion"/>
  <printOptions horizontalCentered="1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BK32"/>
  <sheetViews>
    <sheetView view="pageBreakPreview" zoomScale="80" zoomScaleNormal="70" zoomScaleSheetLayoutView="80" workbookViewId="0">
      <pane xSplit="3" ySplit="7" topLeftCell="J8" activePane="bottomRight" state="frozen"/>
      <selection pane="topRight" activeCell="D1" sqref="D1"/>
      <selection pane="bottomLeft" activeCell="A8" sqref="A8"/>
      <selection pane="bottomRight" activeCell="S17" sqref="S17"/>
    </sheetView>
  </sheetViews>
  <sheetFormatPr defaultColWidth="8.875" defaultRowHeight="13.5"/>
  <cols>
    <col min="1" max="2" width="7.6875" style="42" customWidth="1"/>
    <col min="3" max="3" width="20.6875" style="42" customWidth="1"/>
    <col min="4" max="4" width="16.125" style="42" hidden="1" customWidth="1"/>
    <col min="5" max="5" width="12.6875" style="81" hidden="1" customWidth="1"/>
    <col min="6" max="6" width="11.25" style="81" customWidth="1"/>
    <col min="7" max="7" width="12.6875" style="81" hidden="1" customWidth="1"/>
    <col min="8" max="8" width="56.3125" style="81" hidden="1" customWidth="1"/>
    <col min="9" max="9" width="11.25" style="82" customWidth="1"/>
    <col min="10" max="10" width="10.3125" style="82" customWidth="1"/>
    <col min="11" max="13" width="8.6875" style="82" customWidth="1"/>
    <col min="14" max="14" width="7.6875" style="82" customWidth="1"/>
    <col min="15" max="16" width="8.6875" style="82" customWidth="1"/>
    <col min="17" max="17" width="6.875" style="42" customWidth="1"/>
    <col min="18" max="18" width="8" style="42" bestFit="1" customWidth="1"/>
    <col min="19" max="19" width="9" style="42" bestFit="1" customWidth="1"/>
    <col min="20" max="20" width="9.3125" style="42" bestFit="1" customWidth="1"/>
    <col min="21" max="26" width="9" style="42" hidden="1" customWidth="1"/>
    <col min="27" max="36" width="8.875" style="42" hidden="1" customWidth="1"/>
    <col min="37" max="38" width="9" style="42" hidden="1" customWidth="1"/>
    <col min="39" max="39" width="14.125" style="211" hidden="1" customWidth="1"/>
    <col min="40" max="41" width="8.875" style="42" hidden="1" customWidth="1"/>
    <col min="42" max="42" width="10.3125" style="42" hidden="1" customWidth="1"/>
    <col min="43" max="52" width="8.875" style="42" hidden="1" customWidth="1"/>
    <col min="53" max="53" width="0" style="42" hidden="1" customWidth="1"/>
    <col min="54" max="54" width="13.6875" style="42" hidden="1" customWidth="1"/>
    <col min="55" max="55" width="8.875" style="42" hidden="1" customWidth="1"/>
    <col min="56" max="56" width="0" style="42" hidden="1" customWidth="1"/>
    <col min="57" max="57" width="13.6875" style="42" hidden="1" customWidth="1"/>
    <col min="58" max="58" width="8.875" style="42" customWidth="1"/>
    <col min="59" max="59" width="10.875" style="42" customWidth="1"/>
    <col min="60" max="60" width="13.6875" style="42" customWidth="1"/>
    <col min="61" max="16384" width="8.875" style="42"/>
  </cols>
  <sheetData>
    <row r="1" spans="1:60" ht="20.25">
      <c r="A1" s="391" t="s">
        <v>0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40"/>
      <c r="U1" s="40"/>
      <c r="V1" s="40"/>
      <c r="W1" s="40"/>
      <c r="X1" s="40"/>
      <c r="Y1" s="40"/>
      <c r="Z1" s="40"/>
      <c r="AK1" s="40"/>
      <c r="AL1" s="40"/>
      <c r="AM1" s="40"/>
      <c r="BF1" s="41"/>
      <c r="BG1" s="41"/>
      <c r="BH1" s="41"/>
    </row>
    <row r="2" spans="1:60" ht="20.25">
      <c r="A2" s="43" t="s">
        <v>1</v>
      </c>
      <c r="B2" s="44"/>
      <c r="C2" s="392" t="s">
        <v>190</v>
      </c>
      <c r="D2" s="392"/>
      <c r="E2" s="392"/>
      <c r="F2" s="392"/>
      <c r="G2" s="392"/>
      <c r="H2" s="392"/>
      <c r="I2" s="392"/>
      <c r="J2" s="45" t="s">
        <v>3</v>
      </c>
      <c r="K2" s="46" t="s">
        <v>788</v>
      </c>
      <c r="L2" s="47"/>
      <c r="M2" s="47"/>
      <c r="N2" s="47"/>
      <c r="O2" s="40" t="s">
        <v>189</v>
      </c>
      <c r="P2" s="40">
        <f>COUNTA(C8:C1048576)</f>
        <v>23</v>
      </c>
      <c r="Q2" s="8"/>
      <c r="R2" s="8"/>
      <c r="S2" s="8"/>
      <c r="T2" s="8"/>
      <c r="U2" s="8"/>
      <c r="V2" s="8"/>
      <c r="W2" s="8"/>
      <c r="X2" s="8"/>
      <c r="Y2" s="8"/>
      <c r="Z2" s="8"/>
      <c r="AK2" s="8"/>
      <c r="AL2" s="8"/>
      <c r="AM2" s="205"/>
      <c r="BF2" s="41"/>
      <c r="BG2" s="41"/>
      <c r="BH2" s="41"/>
    </row>
    <row r="3" spans="1:60" ht="15.6" customHeight="1">
      <c r="A3" s="43" t="s">
        <v>4</v>
      </c>
      <c r="B3" s="48"/>
      <c r="C3" s="393" t="s">
        <v>191</v>
      </c>
      <c r="D3" s="393"/>
      <c r="E3" s="393"/>
      <c r="F3" s="393"/>
      <c r="G3" s="393"/>
      <c r="H3" s="393"/>
      <c r="I3" s="393"/>
      <c r="J3" s="391"/>
      <c r="K3" s="391"/>
      <c r="L3" s="391"/>
      <c r="M3" s="391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K3" s="8"/>
      <c r="AL3" s="8"/>
      <c r="AM3" s="205"/>
      <c r="BF3" s="41"/>
      <c r="BG3" s="41"/>
      <c r="BH3" s="41"/>
    </row>
    <row r="4" spans="1:60" ht="15.6" customHeight="1">
      <c r="A4" s="43" t="s">
        <v>5</v>
      </c>
      <c r="B4" s="48"/>
      <c r="C4" s="393">
        <v>17801</v>
      </c>
      <c r="D4" s="393"/>
      <c r="E4" s="393"/>
      <c r="F4" s="393"/>
      <c r="G4" s="393"/>
      <c r="H4" s="393"/>
      <c r="I4" s="393"/>
      <c r="J4" s="391"/>
      <c r="K4" s="391"/>
      <c r="L4" s="391"/>
      <c r="M4" s="391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K4" s="8"/>
      <c r="AL4" s="8"/>
      <c r="AM4" s="205"/>
      <c r="BF4" s="41"/>
      <c r="BG4" s="41"/>
      <c r="BH4" s="41"/>
    </row>
    <row r="5" spans="1:60" ht="15">
      <c r="A5" s="8"/>
      <c r="B5" s="8"/>
      <c r="C5" s="8"/>
      <c r="D5" s="8"/>
      <c r="E5" s="8"/>
      <c r="F5" s="8"/>
      <c r="G5" s="8"/>
      <c r="H5" s="8"/>
      <c r="I5" s="52" t="s">
        <v>6</v>
      </c>
      <c r="J5" s="53" t="s">
        <v>7</v>
      </c>
      <c r="K5" s="54" t="s">
        <v>8</v>
      </c>
      <c r="L5" s="55" t="s">
        <v>9</v>
      </c>
      <c r="M5" s="56" t="s">
        <v>10</v>
      </c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K5" s="8"/>
      <c r="AL5" s="8"/>
      <c r="AM5" s="205"/>
      <c r="BF5" s="41"/>
      <c r="BG5" s="41"/>
      <c r="BH5" s="41"/>
    </row>
    <row r="6" spans="1:60" ht="18.600000000000001" customHeight="1">
      <c r="A6" s="8"/>
      <c r="B6" s="8"/>
      <c r="C6" s="8"/>
      <c r="D6" s="8"/>
      <c r="E6" s="8"/>
      <c r="F6" s="8"/>
      <c r="G6" s="8"/>
      <c r="H6" s="8"/>
      <c r="I6" s="52" t="s">
        <v>11</v>
      </c>
      <c r="J6" s="53" t="s">
        <v>12</v>
      </c>
      <c r="K6" s="54" t="s">
        <v>13</v>
      </c>
      <c r="L6" s="55" t="s">
        <v>14</v>
      </c>
      <c r="M6" s="56" t="s">
        <v>15</v>
      </c>
      <c r="N6" s="8"/>
      <c r="O6" s="8"/>
      <c r="P6" s="8"/>
      <c r="Q6" s="8"/>
      <c r="R6" s="8"/>
      <c r="S6" s="8"/>
      <c r="T6" s="8"/>
      <c r="U6" s="8"/>
      <c r="V6" s="8">
        <v>4</v>
      </c>
      <c r="W6" s="8">
        <v>3.25</v>
      </c>
      <c r="X6" s="8"/>
      <c r="Y6" s="8">
        <v>4</v>
      </c>
      <c r="Z6" s="8">
        <v>3</v>
      </c>
      <c r="AK6" s="8"/>
      <c r="AL6" s="8">
        <v>4</v>
      </c>
      <c r="AM6" s="205">
        <v>4</v>
      </c>
      <c r="AO6" s="8">
        <v>4</v>
      </c>
      <c r="AP6" s="205">
        <v>3.5</v>
      </c>
      <c r="AR6" s="8">
        <v>4</v>
      </c>
      <c r="AS6" s="205">
        <v>3.5</v>
      </c>
      <c r="AU6" s="206"/>
      <c r="AV6" s="67"/>
      <c r="AX6" s="206"/>
      <c r="AY6" s="67"/>
      <c r="BA6" s="206"/>
      <c r="BB6" s="67"/>
      <c r="BD6" s="206"/>
      <c r="BE6" s="67"/>
      <c r="BF6" s="41"/>
      <c r="BG6" s="213">
        <v>15450000</v>
      </c>
      <c r="BH6" s="213">
        <v>12749537.629999999</v>
      </c>
    </row>
    <row r="7" spans="1:60" ht="93.6" customHeight="1">
      <c r="A7" s="57" t="s">
        <v>16</v>
      </c>
      <c r="B7" s="57" t="s">
        <v>17</v>
      </c>
      <c r="C7" s="57" t="s">
        <v>18</v>
      </c>
      <c r="D7" s="57" t="s">
        <v>19</v>
      </c>
      <c r="E7" s="57" t="s">
        <v>20</v>
      </c>
      <c r="F7" s="58" t="s">
        <v>425</v>
      </c>
      <c r="G7" s="57" t="s">
        <v>363</v>
      </c>
      <c r="H7" s="57" t="s">
        <v>359</v>
      </c>
      <c r="I7" s="59" t="s">
        <v>21</v>
      </c>
      <c r="J7" s="59" t="s">
        <v>22</v>
      </c>
      <c r="K7" s="59" t="s">
        <v>624</v>
      </c>
      <c r="L7" s="59" t="s">
        <v>625</v>
      </c>
      <c r="M7" s="59" t="s">
        <v>25</v>
      </c>
      <c r="N7" s="59" t="s">
        <v>26</v>
      </c>
      <c r="O7" s="59" t="s">
        <v>27</v>
      </c>
      <c r="P7" s="59" t="s">
        <v>627</v>
      </c>
      <c r="Q7" s="57" t="s">
        <v>29</v>
      </c>
      <c r="R7" s="59" t="s">
        <v>420</v>
      </c>
      <c r="S7" s="57" t="s">
        <v>31</v>
      </c>
      <c r="T7" s="58" t="s">
        <v>364</v>
      </c>
      <c r="U7" s="57" t="s">
        <v>411</v>
      </c>
      <c r="V7" s="57" t="s">
        <v>420</v>
      </c>
      <c r="W7" s="57" t="s">
        <v>361</v>
      </c>
      <c r="X7" s="57" t="s">
        <v>412</v>
      </c>
      <c r="Y7" s="57" t="s">
        <v>420</v>
      </c>
      <c r="Z7" s="57" t="s">
        <v>362</v>
      </c>
      <c r="AK7" s="57" t="s">
        <v>438</v>
      </c>
      <c r="AL7" s="57" t="s">
        <v>420</v>
      </c>
      <c r="AM7" s="57" t="s">
        <v>437</v>
      </c>
      <c r="AN7" s="59" t="s">
        <v>626</v>
      </c>
      <c r="AO7" s="57" t="s">
        <v>420</v>
      </c>
      <c r="AP7" s="57" t="s">
        <v>448</v>
      </c>
      <c r="AQ7" s="59" t="s">
        <v>626</v>
      </c>
      <c r="AR7" s="57" t="s">
        <v>420</v>
      </c>
      <c r="AS7" s="57" t="s">
        <v>629</v>
      </c>
      <c r="AT7" s="59" t="s">
        <v>626</v>
      </c>
      <c r="AU7" s="57" t="s">
        <v>420</v>
      </c>
      <c r="AV7" s="57" t="s">
        <v>630</v>
      </c>
      <c r="AW7" s="59" t="s">
        <v>626</v>
      </c>
      <c r="AX7" s="57" t="s">
        <v>420</v>
      </c>
      <c r="AY7" s="57" t="s">
        <v>642</v>
      </c>
      <c r="AZ7" s="59" t="s">
        <v>626</v>
      </c>
      <c r="BA7" s="57" t="s">
        <v>420</v>
      </c>
      <c r="BB7" s="57" t="s">
        <v>660</v>
      </c>
      <c r="BC7" s="59" t="s">
        <v>626</v>
      </c>
      <c r="BD7" s="57" t="s">
        <v>420</v>
      </c>
      <c r="BE7" s="57" t="s">
        <v>654</v>
      </c>
      <c r="BF7" s="59" t="s">
        <v>626</v>
      </c>
      <c r="BG7" s="57" t="s">
        <v>420</v>
      </c>
      <c r="BH7" s="57" t="s">
        <v>743</v>
      </c>
    </row>
    <row r="8" spans="1:60">
      <c r="A8" s="68">
        <f t="shared" ref="A8:A30" si="0">IF(B8&lt;&gt;"",ROW()-7,"")</f>
        <v>1</v>
      </c>
      <c r="B8" s="69">
        <v>25483</v>
      </c>
      <c r="C8" s="70" t="s">
        <v>634</v>
      </c>
      <c r="D8" s="70" t="s">
        <v>218</v>
      </c>
      <c r="E8" s="70" t="s">
        <v>390</v>
      </c>
      <c r="F8" s="83" t="s">
        <v>390</v>
      </c>
      <c r="G8" s="70"/>
      <c r="H8" s="70" t="s">
        <v>360</v>
      </c>
      <c r="I8" s="71">
        <v>3</v>
      </c>
      <c r="J8" s="71">
        <v>4</v>
      </c>
      <c r="K8" s="71">
        <v>4</v>
      </c>
      <c r="L8" s="71">
        <v>3</v>
      </c>
      <c r="M8" s="71">
        <v>4</v>
      </c>
      <c r="N8" s="71">
        <v>3</v>
      </c>
      <c r="O8" s="71">
        <v>5</v>
      </c>
      <c r="P8" s="71">
        <v>5</v>
      </c>
      <c r="Q8" s="72">
        <f t="shared" ref="Q8:Q29" si="1">IF(B8&lt;&gt;"", I8*0.3 + J8*0.2 + K8*0.1 + L8*0.1 + M8*0.1 + N8*0.1 + O8*0.05 + P8*0.05, "")</f>
        <v>3.6000000000000005</v>
      </c>
      <c r="R8" s="212">
        <f t="shared" ref="R8:R22" si="2">IF(B8&lt;&gt;"", (($AA$13/5)*I8) + (($AB$13/5)*J8) + (($AC$13/5)*K8) + (($AD$13/5)*L8) + (($AE$13/5)*M8) + (($AF$13/5)*N8) + (($AG$13/5)*O8) + (($AH$13/5)*P8), "")</f>
        <v>0.72</v>
      </c>
      <c r="S8" s="68" t="str">
        <f t="shared" ref="S8:S19" si="3">IF(B8&lt;&gt;"", IF(Q8=0, "No-Grade",   IF(AND(Q8&gt;=4.5, Q8&lt;=5), "Grade-A",   IF(AND(Q8&gt;=3, Q8&lt;4.5), "Grade-B",   IF(AND(Q8&gt;=2, Q8&lt;3), "Grade-C",   IF(Q8&lt;2, "Grade-D",   "Grade-D"))))), "")</f>
        <v>Grade-B</v>
      </c>
      <c r="T8" s="107">
        <f>IFERROR(VLOOKUP(F8,Database!F:G,2,0),0)</f>
        <v>2200</v>
      </c>
      <c r="U8" s="90">
        <v>1</v>
      </c>
      <c r="V8" s="75" t="e">
        <f>#REF!</f>
        <v>#REF!</v>
      </c>
      <c r="W8" s="207" t="e">
        <f t="shared" ref="W8:W16" si="4">CEILING(R8*T8*V8*U8,10)</f>
        <v>#REF!</v>
      </c>
      <c r="X8" s="90">
        <v>1</v>
      </c>
      <c r="Y8" s="75" t="e">
        <f>#REF!</f>
        <v>#REF!</v>
      </c>
      <c r="Z8" s="207" t="e">
        <f t="shared" ref="Z8:Z17" si="5">CEILING(R8*T8*X8*Y8,10)</f>
        <v>#REF!</v>
      </c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90">
        <v>1</v>
      </c>
      <c r="AL8" s="75" t="e">
        <f>#REF!</f>
        <v>#REF!</v>
      </c>
      <c r="AM8" s="76" t="e">
        <f t="shared" ref="AM8:AM17" si="6">CEILING(R8*T8*AK8*AL8,10)</f>
        <v>#REF!</v>
      </c>
      <c r="AN8" s="90">
        <v>1</v>
      </c>
      <c r="AO8" s="75">
        <f>AP6/AO6</f>
        <v>0.875</v>
      </c>
      <c r="AP8" s="76">
        <f t="shared" ref="AP8:AP17" si="7">CEILING($R8*$T8*AN8*AO8,10)</f>
        <v>1390</v>
      </c>
      <c r="AQ8" s="90">
        <v>1</v>
      </c>
      <c r="AR8" s="75">
        <f t="shared" ref="AR8:AR20" si="8">$AS$6/$AR$6</f>
        <v>0.875</v>
      </c>
      <c r="AS8" s="76">
        <f t="shared" ref="AS8:AS17" si="9">CEILING($R8*$T8*AQ8*AR8,10)</f>
        <v>1390</v>
      </c>
      <c r="AT8" s="90">
        <v>1</v>
      </c>
      <c r="AU8" s="75">
        <f t="shared" ref="AU8:AU21" si="10">$AS$6/$AR$6</f>
        <v>0.875</v>
      </c>
      <c r="AV8" s="76">
        <f t="shared" ref="AV8:AV17" si="11">CEILING($R8*$T8*AT8*AU8,10)</f>
        <v>1390</v>
      </c>
      <c r="AW8" s="90">
        <v>1</v>
      </c>
      <c r="AX8" s="75">
        <f t="shared" ref="AX8:AX21" si="12">$AS$6/$AR$6</f>
        <v>0.875</v>
      </c>
      <c r="AY8" s="76">
        <f t="shared" ref="AY8:AY17" si="13">CEILING($R8*$T8*AW8*AX8,10)</f>
        <v>1390</v>
      </c>
      <c r="AZ8" s="90">
        <v>1</v>
      </c>
      <c r="BA8" s="75">
        <f t="shared" ref="BA8:BA21" si="14">$AS$6/$AR$6</f>
        <v>0.875</v>
      </c>
      <c r="BB8" s="76">
        <f t="shared" ref="BB8:BB17" si="15">CEILING($R8*$T8*AZ8*BA8,10)</f>
        <v>1390</v>
      </c>
      <c r="BC8" s="90">
        <v>1</v>
      </c>
      <c r="BD8" s="75">
        <f t="shared" ref="BD8:BD21" si="16">$AS$6/$AR$6</f>
        <v>0.875</v>
      </c>
      <c r="BE8" s="76">
        <f t="shared" ref="BE8:BE17" si="17">CEILING($R8*$T8*BC8*BD8,10)</f>
        <v>1390</v>
      </c>
      <c r="BF8" s="90">
        <v>3</v>
      </c>
      <c r="BG8" s="75">
        <f>$BH$6/$BG$6</f>
        <v>0.82521279158576044</v>
      </c>
      <c r="BH8" s="229">
        <f t="shared" ref="BH8:BH17" si="18">CEILING($R8*$T8*BF8*BG8,10)</f>
        <v>3930</v>
      </c>
    </row>
    <row r="9" spans="1:60">
      <c r="A9" s="68">
        <f t="shared" si="0"/>
        <v>2</v>
      </c>
      <c r="B9" s="69" t="s">
        <v>193</v>
      </c>
      <c r="C9" s="70" t="s">
        <v>206</v>
      </c>
      <c r="D9" s="70" t="s">
        <v>219</v>
      </c>
      <c r="E9" s="70" t="s">
        <v>390</v>
      </c>
      <c r="F9" s="83" t="s">
        <v>390</v>
      </c>
      <c r="G9" s="70"/>
      <c r="H9" s="70" t="s">
        <v>360</v>
      </c>
      <c r="I9" s="71">
        <v>5</v>
      </c>
      <c r="J9" s="71">
        <v>5</v>
      </c>
      <c r="K9" s="71">
        <v>4</v>
      </c>
      <c r="L9" s="71">
        <v>4</v>
      </c>
      <c r="M9" s="71">
        <v>5</v>
      </c>
      <c r="N9" s="71">
        <v>4</v>
      </c>
      <c r="O9" s="71">
        <v>5</v>
      </c>
      <c r="P9" s="71">
        <v>5</v>
      </c>
      <c r="Q9" s="72">
        <f t="shared" si="1"/>
        <v>4.7</v>
      </c>
      <c r="R9" s="212">
        <f t="shared" si="2"/>
        <v>0.94</v>
      </c>
      <c r="S9" s="68" t="str">
        <f t="shared" si="3"/>
        <v>Grade-A</v>
      </c>
      <c r="T9" s="107">
        <f>IFERROR(VLOOKUP(F9,Database!F:G,2,0),0)</f>
        <v>2200</v>
      </c>
      <c r="U9" s="90">
        <v>1</v>
      </c>
      <c r="V9" s="75" t="e">
        <f>#REF!</f>
        <v>#REF!</v>
      </c>
      <c r="W9" s="207" t="e">
        <f t="shared" si="4"/>
        <v>#REF!</v>
      </c>
      <c r="X9" s="90">
        <v>1</v>
      </c>
      <c r="Y9" s="75" t="e">
        <f>#REF!</f>
        <v>#REF!</v>
      </c>
      <c r="Z9" s="207" t="e">
        <f t="shared" si="5"/>
        <v>#REF!</v>
      </c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90">
        <v>1</v>
      </c>
      <c r="AL9" s="75" t="e">
        <f>#REF!</f>
        <v>#REF!</v>
      </c>
      <c r="AM9" s="76" t="e">
        <f t="shared" si="6"/>
        <v>#REF!</v>
      </c>
      <c r="AN9" s="90">
        <v>1</v>
      </c>
      <c r="AO9" s="75">
        <f>AP6/AO6</f>
        <v>0.875</v>
      </c>
      <c r="AP9" s="76">
        <f t="shared" si="7"/>
        <v>1810</v>
      </c>
      <c r="AQ9" s="90">
        <v>7.0000000000000007E-2</v>
      </c>
      <c r="AR9" s="75">
        <f t="shared" si="8"/>
        <v>0.875</v>
      </c>
      <c r="AS9" s="76">
        <f t="shared" si="9"/>
        <v>130</v>
      </c>
      <c r="AT9" s="90">
        <v>0</v>
      </c>
      <c r="AU9" s="75">
        <f t="shared" si="10"/>
        <v>0.875</v>
      </c>
      <c r="AV9" s="76">
        <f t="shared" si="11"/>
        <v>0</v>
      </c>
      <c r="AW9" s="90">
        <v>0</v>
      </c>
      <c r="AX9" s="75">
        <f t="shared" si="12"/>
        <v>0.875</v>
      </c>
      <c r="AY9" s="76">
        <f t="shared" si="13"/>
        <v>0</v>
      </c>
      <c r="AZ9" s="90">
        <v>0.97</v>
      </c>
      <c r="BA9" s="75">
        <f t="shared" si="14"/>
        <v>0.875</v>
      </c>
      <c r="BB9" s="76">
        <f t="shared" si="15"/>
        <v>1760</v>
      </c>
      <c r="BC9" s="90">
        <v>1</v>
      </c>
      <c r="BD9" s="75">
        <f t="shared" si="16"/>
        <v>0.875</v>
      </c>
      <c r="BE9" s="76">
        <f t="shared" si="17"/>
        <v>1810</v>
      </c>
      <c r="BF9" s="90">
        <v>3</v>
      </c>
      <c r="BG9" s="75">
        <f t="shared" ref="BG9:BG30" si="19">$BH$6/$BG$6</f>
        <v>0.82521279158576044</v>
      </c>
      <c r="BH9" s="229">
        <f t="shared" si="18"/>
        <v>5120</v>
      </c>
    </row>
    <row r="10" spans="1:60" hidden="1">
      <c r="A10" s="68">
        <f t="shared" si="0"/>
        <v>3</v>
      </c>
      <c r="B10" s="311" t="s">
        <v>194</v>
      </c>
      <c r="C10" s="312" t="s">
        <v>207</v>
      </c>
      <c r="D10" s="312" t="s">
        <v>220</v>
      </c>
      <c r="E10" s="312" t="s">
        <v>391</v>
      </c>
      <c r="F10" s="313" t="s">
        <v>391</v>
      </c>
      <c r="G10" s="312"/>
      <c r="H10" s="312" t="s">
        <v>780</v>
      </c>
      <c r="I10" s="314">
        <v>3</v>
      </c>
      <c r="J10" s="314">
        <v>4</v>
      </c>
      <c r="K10" s="314">
        <v>3</v>
      </c>
      <c r="L10" s="314">
        <v>3</v>
      </c>
      <c r="M10" s="314">
        <v>4</v>
      </c>
      <c r="N10" s="314">
        <v>3</v>
      </c>
      <c r="O10" s="314">
        <v>4</v>
      </c>
      <c r="P10" s="314">
        <v>5</v>
      </c>
      <c r="Q10" s="315">
        <f t="shared" si="1"/>
        <v>3.45</v>
      </c>
      <c r="R10" s="316">
        <f t="shared" si="2"/>
        <v>0.69</v>
      </c>
      <c r="S10" s="317" t="str">
        <f t="shared" si="3"/>
        <v>Grade-B</v>
      </c>
      <c r="T10" s="318">
        <f>IFERROR(VLOOKUP(F10,Database!F:G,2,0),0)</f>
        <v>2700</v>
      </c>
      <c r="U10" s="315">
        <v>1</v>
      </c>
      <c r="V10" s="319" t="e">
        <f>#REF!</f>
        <v>#REF!</v>
      </c>
      <c r="W10" s="320" t="e">
        <f t="shared" si="4"/>
        <v>#REF!</v>
      </c>
      <c r="X10" s="315">
        <v>1</v>
      </c>
      <c r="Y10" s="319" t="e">
        <f>#REF!</f>
        <v>#REF!</v>
      </c>
      <c r="Z10" s="320" t="e">
        <f t="shared" si="5"/>
        <v>#REF!</v>
      </c>
      <c r="AA10" s="321"/>
      <c r="AB10" s="321"/>
      <c r="AC10" s="321"/>
      <c r="AD10" s="321"/>
      <c r="AE10" s="321"/>
      <c r="AF10" s="321"/>
      <c r="AG10" s="321"/>
      <c r="AH10" s="321"/>
      <c r="AI10" s="321"/>
      <c r="AJ10" s="321"/>
      <c r="AK10" s="315">
        <v>0.54</v>
      </c>
      <c r="AL10" s="319" t="e">
        <f>#REF!</f>
        <v>#REF!</v>
      </c>
      <c r="AM10" s="322" t="e">
        <f t="shared" si="6"/>
        <v>#REF!</v>
      </c>
      <c r="AN10" s="315">
        <v>1</v>
      </c>
      <c r="AO10" s="319">
        <f>AP6/AO6</f>
        <v>0.875</v>
      </c>
      <c r="AP10" s="322">
        <f t="shared" si="7"/>
        <v>1640</v>
      </c>
      <c r="AQ10" s="315">
        <v>1</v>
      </c>
      <c r="AR10" s="319">
        <f t="shared" si="8"/>
        <v>0.875</v>
      </c>
      <c r="AS10" s="322">
        <f t="shared" si="9"/>
        <v>1640</v>
      </c>
      <c r="AT10" s="315">
        <v>1</v>
      </c>
      <c r="AU10" s="319">
        <f t="shared" si="10"/>
        <v>0.875</v>
      </c>
      <c r="AV10" s="322">
        <f t="shared" si="11"/>
        <v>1640</v>
      </c>
      <c r="AW10" s="315">
        <v>1</v>
      </c>
      <c r="AX10" s="319">
        <f t="shared" si="12"/>
        <v>0.875</v>
      </c>
      <c r="AY10" s="322">
        <f t="shared" si="13"/>
        <v>1640</v>
      </c>
      <c r="AZ10" s="315">
        <v>1</v>
      </c>
      <c r="BA10" s="319">
        <f t="shared" si="14"/>
        <v>0.875</v>
      </c>
      <c r="BB10" s="322">
        <f t="shared" si="15"/>
        <v>1640</v>
      </c>
      <c r="BC10" s="315">
        <v>1</v>
      </c>
      <c r="BD10" s="319">
        <f t="shared" si="16"/>
        <v>0.875</v>
      </c>
      <c r="BE10" s="322">
        <f t="shared" si="17"/>
        <v>1640</v>
      </c>
      <c r="BF10" s="315">
        <v>0</v>
      </c>
      <c r="BG10" s="319">
        <f t="shared" si="19"/>
        <v>0.82521279158576044</v>
      </c>
      <c r="BH10" s="322">
        <f t="shared" si="18"/>
        <v>0</v>
      </c>
    </row>
    <row r="11" spans="1:60" s="8" customFormat="1">
      <c r="A11" s="68">
        <v>3</v>
      </c>
      <c r="B11" s="69" t="s">
        <v>197</v>
      </c>
      <c r="C11" s="70" t="s">
        <v>211</v>
      </c>
      <c r="D11" s="70" t="s">
        <v>223</v>
      </c>
      <c r="E11" s="70" t="s">
        <v>391</v>
      </c>
      <c r="F11" s="83" t="s">
        <v>391</v>
      </c>
      <c r="G11" s="70"/>
      <c r="H11" s="70" t="s">
        <v>360</v>
      </c>
      <c r="I11" s="71">
        <v>3</v>
      </c>
      <c r="J11" s="71">
        <v>3</v>
      </c>
      <c r="K11" s="71">
        <v>2</v>
      </c>
      <c r="L11" s="71">
        <v>3</v>
      </c>
      <c r="M11" s="71">
        <v>4</v>
      </c>
      <c r="N11" s="71">
        <v>3</v>
      </c>
      <c r="O11" s="71">
        <v>4</v>
      </c>
      <c r="P11" s="71">
        <v>4</v>
      </c>
      <c r="Q11" s="72">
        <f t="shared" si="1"/>
        <v>3.1000000000000005</v>
      </c>
      <c r="R11" s="212">
        <f t="shared" si="2"/>
        <v>0.62000000000000011</v>
      </c>
      <c r="S11" s="68" t="str">
        <f t="shared" si="3"/>
        <v>Grade-B</v>
      </c>
      <c r="T11" s="107">
        <f>IFERROR(VLOOKUP(F11,Database!F:G,2,0),0)</f>
        <v>2700</v>
      </c>
      <c r="U11" s="90">
        <v>0.51</v>
      </c>
      <c r="V11" s="75" t="e">
        <f>#REF!</f>
        <v>#REF!</v>
      </c>
      <c r="W11" s="207" t="e">
        <f t="shared" si="4"/>
        <v>#REF!</v>
      </c>
      <c r="X11" s="90">
        <v>1</v>
      </c>
      <c r="Y11" s="75" t="e">
        <f>#REF!</f>
        <v>#REF!</v>
      </c>
      <c r="Z11" s="207" t="e">
        <f t="shared" si="5"/>
        <v>#REF!</v>
      </c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90">
        <v>1</v>
      </c>
      <c r="AL11" s="75" t="e">
        <f>#REF!</f>
        <v>#REF!</v>
      </c>
      <c r="AM11" s="76" t="e">
        <f t="shared" si="6"/>
        <v>#REF!</v>
      </c>
      <c r="AN11" s="90">
        <v>1.1000000000000001</v>
      </c>
      <c r="AO11" s="75">
        <f>AP6/AO6</f>
        <v>0.875</v>
      </c>
      <c r="AP11" s="76">
        <f t="shared" si="7"/>
        <v>1620</v>
      </c>
      <c r="AQ11" s="90">
        <v>1</v>
      </c>
      <c r="AR11" s="75">
        <f t="shared" si="8"/>
        <v>0.875</v>
      </c>
      <c r="AS11" s="76">
        <f t="shared" si="9"/>
        <v>1470</v>
      </c>
      <c r="AT11" s="90">
        <v>1</v>
      </c>
      <c r="AU11" s="75">
        <f t="shared" si="10"/>
        <v>0.875</v>
      </c>
      <c r="AV11" s="76">
        <f t="shared" si="11"/>
        <v>1470</v>
      </c>
      <c r="AW11" s="90">
        <v>1</v>
      </c>
      <c r="AX11" s="75">
        <f t="shared" si="12"/>
        <v>0.875</v>
      </c>
      <c r="AY11" s="76">
        <f t="shared" si="13"/>
        <v>1470</v>
      </c>
      <c r="AZ11" s="90">
        <v>1</v>
      </c>
      <c r="BA11" s="75">
        <f t="shared" si="14"/>
        <v>0.875</v>
      </c>
      <c r="BB11" s="76">
        <f t="shared" si="15"/>
        <v>1470</v>
      </c>
      <c r="BC11" s="90">
        <v>1</v>
      </c>
      <c r="BD11" s="75">
        <f t="shared" si="16"/>
        <v>0.875</v>
      </c>
      <c r="BE11" s="76">
        <f t="shared" si="17"/>
        <v>1470</v>
      </c>
      <c r="BF11" s="90">
        <v>3</v>
      </c>
      <c r="BG11" s="75">
        <f t="shared" si="19"/>
        <v>0.82521279158576044</v>
      </c>
      <c r="BH11" s="229">
        <f t="shared" si="18"/>
        <v>4150</v>
      </c>
    </row>
    <row r="12" spans="1:60">
      <c r="A12" s="68">
        <v>4</v>
      </c>
      <c r="B12" s="69" t="s">
        <v>198</v>
      </c>
      <c r="C12" s="70" t="s">
        <v>212</v>
      </c>
      <c r="D12" s="70" t="s">
        <v>220</v>
      </c>
      <c r="E12" s="70" t="s">
        <v>391</v>
      </c>
      <c r="F12" s="83" t="s">
        <v>391</v>
      </c>
      <c r="G12" s="70"/>
      <c r="H12" s="70" t="s">
        <v>360</v>
      </c>
      <c r="I12" s="71">
        <v>5</v>
      </c>
      <c r="J12" s="71">
        <v>4</v>
      </c>
      <c r="K12" s="71">
        <v>4</v>
      </c>
      <c r="L12" s="71">
        <v>5</v>
      </c>
      <c r="M12" s="71">
        <v>5</v>
      </c>
      <c r="N12" s="71">
        <v>4</v>
      </c>
      <c r="O12" s="71">
        <v>5</v>
      </c>
      <c r="P12" s="71">
        <v>5</v>
      </c>
      <c r="Q12" s="72">
        <f t="shared" si="1"/>
        <v>4.5999999999999996</v>
      </c>
      <c r="R12" s="212">
        <f t="shared" si="2"/>
        <v>0.91999999999999993</v>
      </c>
      <c r="S12" s="68" t="str">
        <f t="shared" si="3"/>
        <v>Grade-A</v>
      </c>
      <c r="T12" s="107">
        <f>IFERROR(VLOOKUP(F12,Database!F:G,2,0),0)</f>
        <v>2700</v>
      </c>
      <c r="U12" s="90">
        <v>1</v>
      </c>
      <c r="V12" s="75" t="e">
        <f>V9</f>
        <v>#REF!</v>
      </c>
      <c r="W12" s="207" t="e">
        <f t="shared" si="4"/>
        <v>#REF!</v>
      </c>
      <c r="X12" s="90">
        <v>1</v>
      </c>
      <c r="Y12" s="75" t="e">
        <f>Y9</f>
        <v>#REF!</v>
      </c>
      <c r="Z12" s="207" t="e">
        <f t="shared" si="5"/>
        <v>#REF!</v>
      </c>
      <c r="AA12" s="41" t="s">
        <v>21</v>
      </c>
      <c r="AB12" s="41" t="s">
        <v>22</v>
      </c>
      <c r="AC12" s="41" t="s">
        <v>23</v>
      </c>
      <c r="AD12" s="41" t="s">
        <v>24</v>
      </c>
      <c r="AE12" s="41" t="s">
        <v>25</v>
      </c>
      <c r="AF12" s="41" t="s">
        <v>26</v>
      </c>
      <c r="AG12" s="41" t="s">
        <v>27</v>
      </c>
      <c r="AH12" s="41" t="s">
        <v>28</v>
      </c>
      <c r="AI12" s="41"/>
      <c r="AJ12" s="41"/>
      <c r="AK12" s="90">
        <v>1</v>
      </c>
      <c r="AL12" s="75" t="e">
        <f>AL9</f>
        <v>#REF!</v>
      </c>
      <c r="AM12" s="76" t="e">
        <f t="shared" si="6"/>
        <v>#REF!</v>
      </c>
      <c r="AN12" s="90">
        <v>1</v>
      </c>
      <c r="AO12" s="75">
        <f>AO9</f>
        <v>0.875</v>
      </c>
      <c r="AP12" s="76">
        <f t="shared" si="7"/>
        <v>2180</v>
      </c>
      <c r="AQ12" s="90">
        <v>1</v>
      </c>
      <c r="AR12" s="75">
        <f t="shared" si="8"/>
        <v>0.875</v>
      </c>
      <c r="AS12" s="76">
        <f t="shared" si="9"/>
        <v>2180</v>
      </c>
      <c r="AT12" s="90">
        <v>1</v>
      </c>
      <c r="AU12" s="75">
        <f t="shared" si="10"/>
        <v>0.875</v>
      </c>
      <c r="AV12" s="76">
        <f t="shared" si="11"/>
        <v>2180</v>
      </c>
      <c r="AW12" s="90">
        <v>1</v>
      </c>
      <c r="AX12" s="75">
        <f t="shared" si="12"/>
        <v>0.875</v>
      </c>
      <c r="AY12" s="76">
        <f t="shared" si="13"/>
        <v>2180</v>
      </c>
      <c r="AZ12" s="90">
        <v>1</v>
      </c>
      <c r="BA12" s="75">
        <f t="shared" si="14"/>
        <v>0.875</v>
      </c>
      <c r="BB12" s="76">
        <f t="shared" si="15"/>
        <v>2180</v>
      </c>
      <c r="BC12" s="90">
        <v>1</v>
      </c>
      <c r="BD12" s="75">
        <f t="shared" si="16"/>
        <v>0.875</v>
      </c>
      <c r="BE12" s="76">
        <f t="shared" si="17"/>
        <v>2180</v>
      </c>
      <c r="BF12" s="90">
        <v>3</v>
      </c>
      <c r="BG12" s="75">
        <f t="shared" si="19"/>
        <v>0.82521279158576044</v>
      </c>
      <c r="BH12" s="229">
        <f t="shared" si="18"/>
        <v>6150</v>
      </c>
    </row>
    <row r="13" spans="1:60" ht="15">
      <c r="A13" s="68">
        <v>5</v>
      </c>
      <c r="B13" s="69" t="s">
        <v>199</v>
      </c>
      <c r="C13" s="70" t="s">
        <v>213</v>
      </c>
      <c r="D13" s="70" t="s">
        <v>220</v>
      </c>
      <c r="E13" s="70" t="s">
        <v>391</v>
      </c>
      <c r="F13" s="83" t="s">
        <v>391</v>
      </c>
      <c r="G13" s="70"/>
      <c r="H13" s="70" t="s">
        <v>360</v>
      </c>
      <c r="I13" s="71">
        <v>3</v>
      </c>
      <c r="J13" s="71">
        <v>4</v>
      </c>
      <c r="K13" s="71">
        <v>3</v>
      </c>
      <c r="L13" s="71">
        <v>3</v>
      </c>
      <c r="M13" s="71">
        <v>4</v>
      </c>
      <c r="N13" s="71">
        <v>4</v>
      </c>
      <c r="O13" s="71">
        <v>5</v>
      </c>
      <c r="P13" s="71">
        <v>5</v>
      </c>
      <c r="Q13" s="72">
        <f t="shared" si="1"/>
        <v>3.5999999999999996</v>
      </c>
      <c r="R13" s="212">
        <f t="shared" si="2"/>
        <v>0.72</v>
      </c>
      <c r="S13" s="68" t="str">
        <f t="shared" si="3"/>
        <v>Grade-B</v>
      </c>
      <c r="T13" s="107">
        <f>IFERROR(VLOOKUP(F13,Database!F:G,2,0),0)</f>
        <v>2700</v>
      </c>
      <c r="U13" s="90">
        <v>1</v>
      </c>
      <c r="V13" s="75" t="e">
        <f>V10</f>
        <v>#REF!</v>
      </c>
      <c r="W13" s="207" t="e">
        <f t="shared" si="4"/>
        <v>#REF!</v>
      </c>
      <c r="X13" s="90">
        <v>1</v>
      </c>
      <c r="Y13" s="75" t="e">
        <f>Y10</f>
        <v>#REF!</v>
      </c>
      <c r="Z13" s="207" t="e">
        <f t="shared" si="5"/>
        <v>#REF!</v>
      </c>
      <c r="AA13" s="214">
        <v>0.3</v>
      </c>
      <c r="AB13" s="214">
        <v>0.2</v>
      </c>
      <c r="AC13" s="214">
        <v>0.1</v>
      </c>
      <c r="AD13" s="214">
        <v>0.1</v>
      </c>
      <c r="AE13" s="214">
        <v>0.1</v>
      </c>
      <c r="AF13" s="214">
        <v>0.1</v>
      </c>
      <c r="AG13" s="214">
        <v>0.05</v>
      </c>
      <c r="AH13" s="214">
        <v>0.05</v>
      </c>
      <c r="AI13" s="41"/>
      <c r="AJ13" s="41"/>
      <c r="AK13" s="90">
        <v>1</v>
      </c>
      <c r="AL13" s="75" t="e">
        <f>AL10</f>
        <v>#REF!</v>
      </c>
      <c r="AM13" s="76" t="e">
        <f t="shared" si="6"/>
        <v>#REF!</v>
      </c>
      <c r="AN13" s="90">
        <v>1</v>
      </c>
      <c r="AO13" s="75">
        <f>AO10</f>
        <v>0.875</v>
      </c>
      <c r="AP13" s="76">
        <f t="shared" si="7"/>
        <v>1710</v>
      </c>
      <c r="AQ13" s="90">
        <v>1</v>
      </c>
      <c r="AR13" s="75">
        <f t="shared" si="8"/>
        <v>0.875</v>
      </c>
      <c r="AS13" s="76">
        <f t="shared" si="9"/>
        <v>1710</v>
      </c>
      <c r="AT13" s="90">
        <v>1</v>
      </c>
      <c r="AU13" s="75">
        <f t="shared" si="10"/>
        <v>0.875</v>
      </c>
      <c r="AV13" s="76">
        <f t="shared" si="11"/>
        <v>1710</v>
      </c>
      <c r="AW13" s="90">
        <v>1</v>
      </c>
      <c r="AX13" s="75">
        <f t="shared" si="12"/>
        <v>0.875</v>
      </c>
      <c r="AY13" s="76">
        <f t="shared" si="13"/>
        <v>1710</v>
      </c>
      <c r="AZ13" s="90">
        <v>1</v>
      </c>
      <c r="BA13" s="75">
        <f t="shared" si="14"/>
        <v>0.875</v>
      </c>
      <c r="BB13" s="76">
        <f t="shared" si="15"/>
        <v>1710</v>
      </c>
      <c r="BC13" s="90">
        <v>1</v>
      </c>
      <c r="BD13" s="75">
        <f t="shared" si="16"/>
        <v>0.875</v>
      </c>
      <c r="BE13" s="76">
        <f t="shared" si="17"/>
        <v>1710</v>
      </c>
      <c r="BF13" s="90">
        <v>3</v>
      </c>
      <c r="BG13" s="75">
        <f t="shared" si="19"/>
        <v>0.82521279158576044</v>
      </c>
      <c r="BH13" s="229">
        <f t="shared" si="18"/>
        <v>4820</v>
      </c>
    </row>
    <row r="14" spans="1:60" s="8" customFormat="1">
      <c r="A14" s="68">
        <v>6</v>
      </c>
      <c r="B14" s="69" t="s">
        <v>200</v>
      </c>
      <c r="C14" s="70" t="s">
        <v>214</v>
      </c>
      <c r="D14" s="70" t="s">
        <v>224</v>
      </c>
      <c r="E14" s="70" t="s">
        <v>391</v>
      </c>
      <c r="F14" s="83" t="s">
        <v>391</v>
      </c>
      <c r="G14" s="70"/>
      <c r="H14" s="70" t="s">
        <v>360</v>
      </c>
      <c r="I14" s="71">
        <v>5</v>
      </c>
      <c r="J14" s="71">
        <v>3</v>
      </c>
      <c r="K14" s="71">
        <v>3</v>
      </c>
      <c r="L14" s="71">
        <v>4</v>
      </c>
      <c r="M14" s="71">
        <v>4</v>
      </c>
      <c r="N14" s="71">
        <v>4</v>
      </c>
      <c r="O14" s="71">
        <v>5</v>
      </c>
      <c r="P14" s="71">
        <v>5</v>
      </c>
      <c r="Q14" s="72">
        <f t="shared" si="1"/>
        <v>4.0999999999999996</v>
      </c>
      <c r="R14" s="212">
        <f t="shared" si="2"/>
        <v>0.82</v>
      </c>
      <c r="S14" s="68" t="str">
        <f t="shared" si="3"/>
        <v>Grade-B</v>
      </c>
      <c r="T14" s="107">
        <f>IFERROR(VLOOKUP(F14,Database!F:G,2,0),0)</f>
        <v>2700</v>
      </c>
      <c r="U14" s="90">
        <v>1</v>
      </c>
      <c r="V14" s="75" t="e">
        <f>#REF!</f>
        <v>#REF!</v>
      </c>
      <c r="W14" s="207" t="e">
        <f t="shared" si="4"/>
        <v>#REF!</v>
      </c>
      <c r="X14" s="90">
        <v>1</v>
      </c>
      <c r="Y14" s="75" t="e">
        <f>#REF!</f>
        <v>#REF!</v>
      </c>
      <c r="Z14" s="207" t="e">
        <f t="shared" si="5"/>
        <v>#REF!</v>
      </c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90">
        <v>1</v>
      </c>
      <c r="AL14" s="75" t="e">
        <f>#REF!</f>
        <v>#REF!</v>
      </c>
      <c r="AM14" s="76" t="e">
        <f t="shared" si="6"/>
        <v>#REF!</v>
      </c>
      <c r="AN14" s="90">
        <v>0</v>
      </c>
      <c r="AO14" s="75">
        <f>AO11</f>
        <v>0.875</v>
      </c>
      <c r="AP14" s="76">
        <f t="shared" si="7"/>
        <v>0</v>
      </c>
      <c r="AQ14" s="90">
        <v>1</v>
      </c>
      <c r="AR14" s="75">
        <f t="shared" si="8"/>
        <v>0.875</v>
      </c>
      <c r="AS14" s="76">
        <f t="shared" si="9"/>
        <v>1940</v>
      </c>
      <c r="AT14" s="90">
        <v>1</v>
      </c>
      <c r="AU14" s="75">
        <f t="shared" si="10"/>
        <v>0.875</v>
      </c>
      <c r="AV14" s="76">
        <f t="shared" si="11"/>
        <v>1940</v>
      </c>
      <c r="AW14" s="90">
        <v>1</v>
      </c>
      <c r="AX14" s="75">
        <f t="shared" si="12"/>
        <v>0.875</v>
      </c>
      <c r="AY14" s="76">
        <f t="shared" si="13"/>
        <v>1940</v>
      </c>
      <c r="AZ14" s="90">
        <v>1</v>
      </c>
      <c r="BA14" s="75">
        <f t="shared" si="14"/>
        <v>0.875</v>
      </c>
      <c r="BB14" s="76">
        <f t="shared" si="15"/>
        <v>1940</v>
      </c>
      <c r="BC14" s="90">
        <v>1</v>
      </c>
      <c r="BD14" s="75">
        <f t="shared" si="16"/>
        <v>0.875</v>
      </c>
      <c r="BE14" s="76">
        <f t="shared" si="17"/>
        <v>1940</v>
      </c>
      <c r="BF14" s="90">
        <v>3</v>
      </c>
      <c r="BG14" s="75">
        <f t="shared" si="19"/>
        <v>0.82521279158576044</v>
      </c>
      <c r="BH14" s="229">
        <f t="shared" si="18"/>
        <v>5490</v>
      </c>
    </row>
    <row r="15" spans="1:60" ht="13.5" customHeight="1">
      <c r="A15" s="68">
        <v>7</v>
      </c>
      <c r="B15" s="69" t="s">
        <v>202</v>
      </c>
      <c r="C15" s="70" t="s">
        <v>722</v>
      </c>
      <c r="D15" s="70" t="s">
        <v>218</v>
      </c>
      <c r="E15" s="70" t="s">
        <v>391</v>
      </c>
      <c r="F15" s="83" t="s">
        <v>391</v>
      </c>
      <c r="G15" s="70"/>
      <c r="H15" s="62" t="s">
        <v>767</v>
      </c>
      <c r="I15" s="71">
        <v>4</v>
      </c>
      <c r="J15" s="71">
        <v>4</v>
      </c>
      <c r="K15" s="71">
        <v>5</v>
      </c>
      <c r="L15" s="71">
        <v>4</v>
      </c>
      <c r="M15" s="71">
        <v>4</v>
      </c>
      <c r="N15" s="71">
        <v>5</v>
      </c>
      <c r="O15" s="71">
        <v>5</v>
      </c>
      <c r="P15" s="71">
        <v>5</v>
      </c>
      <c r="Q15" s="72">
        <f t="shared" si="1"/>
        <v>4.3</v>
      </c>
      <c r="R15" s="212">
        <f t="shared" si="2"/>
        <v>0.86</v>
      </c>
      <c r="S15" s="68" t="str">
        <f t="shared" si="3"/>
        <v>Grade-B</v>
      </c>
      <c r="T15" s="107">
        <f>IFERROR(VLOOKUP(F15,Database!F:G,2,0),0)</f>
        <v>2700</v>
      </c>
      <c r="U15" s="90">
        <v>1</v>
      </c>
      <c r="V15" s="75" t="e">
        <f>#REF!</f>
        <v>#REF!</v>
      </c>
      <c r="W15" s="207" t="e">
        <f t="shared" si="4"/>
        <v>#REF!</v>
      </c>
      <c r="X15" s="90">
        <v>1</v>
      </c>
      <c r="Y15" s="75" t="e">
        <f>#REF!</f>
        <v>#REF!</v>
      </c>
      <c r="Z15" s="207" t="e">
        <f t="shared" si="5"/>
        <v>#REF!</v>
      </c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90">
        <v>1</v>
      </c>
      <c r="AL15" s="75" t="e">
        <f>#REF!</f>
        <v>#REF!</v>
      </c>
      <c r="AM15" s="76" t="e">
        <f t="shared" si="6"/>
        <v>#REF!</v>
      </c>
      <c r="AN15" s="90">
        <v>0.6</v>
      </c>
      <c r="AO15" s="75">
        <f>AO12</f>
        <v>0.875</v>
      </c>
      <c r="AP15" s="76">
        <f t="shared" si="7"/>
        <v>1220</v>
      </c>
      <c r="AQ15" s="90">
        <v>1</v>
      </c>
      <c r="AR15" s="75">
        <f t="shared" si="8"/>
        <v>0.875</v>
      </c>
      <c r="AS15" s="76">
        <f t="shared" si="9"/>
        <v>2040</v>
      </c>
      <c r="AT15" s="90">
        <v>1</v>
      </c>
      <c r="AU15" s="75">
        <f t="shared" si="10"/>
        <v>0.875</v>
      </c>
      <c r="AV15" s="76">
        <f t="shared" si="11"/>
        <v>2040</v>
      </c>
      <c r="AW15" s="90">
        <v>1</v>
      </c>
      <c r="AX15" s="75">
        <f t="shared" si="12"/>
        <v>0.875</v>
      </c>
      <c r="AY15" s="76">
        <f t="shared" si="13"/>
        <v>2040</v>
      </c>
      <c r="AZ15" s="90">
        <v>1</v>
      </c>
      <c r="BA15" s="75">
        <f t="shared" si="14"/>
        <v>0.875</v>
      </c>
      <c r="BB15" s="76">
        <f t="shared" si="15"/>
        <v>2040</v>
      </c>
      <c r="BC15" s="90">
        <v>1</v>
      </c>
      <c r="BD15" s="75">
        <f t="shared" si="16"/>
        <v>0.875</v>
      </c>
      <c r="BE15" s="76">
        <f t="shared" si="17"/>
        <v>2040</v>
      </c>
      <c r="BF15" s="90">
        <v>3</v>
      </c>
      <c r="BG15" s="75">
        <f t="shared" si="19"/>
        <v>0.82521279158576044</v>
      </c>
      <c r="BH15" s="229">
        <f t="shared" si="18"/>
        <v>5750</v>
      </c>
    </row>
    <row r="16" spans="1:60">
      <c r="A16" s="68">
        <v>8</v>
      </c>
      <c r="B16" s="69">
        <v>24693</v>
      </c>
      <c r="C16" s="70" t="s">
        <v>215</v>
      </c>
      <c r="D16" s="70" t="s">
        <v>219</v>
      </c>
      <c r="E16" s="70" t="s">
        <v>391</v>
      </c>
      <c r="F16" s="83" t="s">
        <v>391</v>
      </c>
      <c r="G16" s="70"/>
      <c r="H16" s="62" t="s">
        <v>768</v>
      </c>
      <c r="I16" s="71">
        <v>4</v>
      </c>
      <c r="J16" s="71">
        <v>5</v>
      </c>
      <c r="K16" s="71">
        <v>4</v>
      </c>
      <c r="L16" s="71">
        <v>4</v>
      </c>
      <c r="M16" s="71">
        <v>5</v>
      </c>
      <c r="N16" s="71">
        <v>4</v>
      </c>
      <c r="O16" s="71">
        <v>5</v>
      </c>
      <c r="P16" s="71">
        <v>5</v>
      </c>
      <c r="Q16" s="72">
        <f t="shared" si="1"/>
        <v>4.4000000000000004</v>
      </c>
      <c r="R16" s="212">
        <f t="shared" si="2"/>
        <v>0.88</v>
      </c>
      <c r="S16" s="68" t="str">
        <f t="shared" si="3"/>
        <v>Grade-B</v>
      </c>
      <c r="T16" s="107">
        <f>IFERROR(VLOOKUP(F16,Database!F:G,2,0),0)</f>
        <v>2700</v>
      </c>
      <c r="U16" s="90">
        <v>1</v>
      </c>
      <c r="V16" s="75" t="e">
        <f>V12</f>
        <v>#REF!</v>
      </c>
      <c r="W16" s="207" t="e">
        <f t="shared" si="4"/>
        <v>#REF!</v>
      </c>
      <c r="X16" s="90">
        <v>1</v>
      </c>
      <c r="Y16" s="75" t="e">
        <f>Y12</f>
        <v>#REF!</v>
      </c>
      <c r="Z16" s="207" t="e">
        <f t="shared" si="5"/>
        <v>#REF!</v>
      </c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90">
        <v>1</v>
      </c>
      <c r="AL16" s="75" t="e">
        <f>AL12</f>
        <v>#REF!</v>
      </c>
      <c r="AM16" s="76" t="e">
        <f t="shared" si="6"/>
        <v>#REF!</v>
      </c>
      <c r="AN16" s="90">
        <v>1</v>
      </c>
      <c r="AO16" s="75">
        <f>AO12</f>
        <v>0.875</v>
      </c>
      <c r="AP16" s="76">
        <f t="shared" si="7"/>
        <v>2080</v>
      </c>
      <c r="AQ16" s="90">
        <v>1</v>
      </c>
      <c r="AR16" s="75">
        <f t="shared" si="8"/>
        <v>0.875</v>
      </c>
      <c r="AS16" s="76">
        <f t="shared" si="9"/>
        <v>2080</v>
      </c>
      <c r="AT16" s="90">
        <v>1</v>
      </c>
      <c r="AU16" s="75">
        <f t="shared" si="10"/>
        <v>0.875</v>
      </c>
      <c r="AV16" s="76">
        <f t="shared" si="11"/>
        <v>2080</v>
      </c>
      <c r="AW16" s="90">
        <v>1</v>
      </c>
      <c r="AX16" s="75">
        <f t="shared" si="12"/>
        <v>0.875</v>
      </c>
      <c r="AY16" s="76">
        <f t="shared" si="13"/>
        <v>2080</v>
      </c>
      <c r="AZ16" s="90">
        <v>1</v>
      </c>
      <c r="BA16" s="75">
        <f t="shared" si="14"/>
        <v>0.875</v>
      </c>
      <c r="BB16" s="76">
        <f t="shared" si="15"/>
        <v>2080</v>
      </c>
      <c r="BC16" s="90">
        <v>1</v>
      </c>
      <c r="BD16" s="75">
        <f t="shared" si="16"/>
        <v>0.875</v>
      </c>
      <c r="BE16" s="76">
        <f t="shared" si="17"/>
        <v>2080</v>
      </c>
      <c r="BF16" s="90">
        <v>2.5</v>
      </c>
      <c r="BG16" s="75">
        <f t="shared" si="19"/>
        <v>0.82521279158576044</v>
      </c>
      <c r="BH16" s="229">
        <f t="shared" si="18"/>
        <v>4910</v>
      </c>
    </row>
    <row r="17" spans="1:63" s="8" customFormat="1">
      <c r="A17" s="68">
        <v>9</v>
      </c>
      <c r="B17" s="69" t="s">
        <v>226</v>
      </c>
      <c r="C17" s="70" t="s">
        <v>227</v>
      </c>
      <c r="D17" s="70" t="s">
        <v>216</v>
      </c>
      <c r="E17" s="70" t="s">
        <v>391</v>
      </c>
      <c r="F17" s="83" t="s">
        <v>391</v>
      </c>
      <c r="G17" s="70"/>
      <c r="H17" s="62" t="s">
        <v>360</v>
      </c>
      <c r="I17" s="71">
        <v>5</v>
      </c>
      <c r="J17" s="71">
        <v>4</v>
      </c>
      <c r="K17" s="71">
        <v>4</v>
      </c>
      <c r="L17" s="71">
        <v>4</v>
      </c>
      <c r="M17" s="71">
        <v>5</v>
      </c>
      <c r="N17" s="71">
        <v>5</v>
      </c>
      <c r="O17" s="71">
        <v>5</v>
      </c>
      <c r="P17" s="71">
        <v>5</v>
      </c>
      <c r="Q17" s="72">
        <f t="shared" si="1"/>
        <v>4.5999999999999996</v>
      </c>
      <c r="R17" s="212">
        <f t="shared" si="2"/>
        <v>0.91999999999999993</v>
      </c>
      <c r="S17" s="68" t="str">
        <f t="shared" si="3"/>
        <v>Grade-A</v>
      </c>
      <c r="T17" s="107">
        <f>IFERROR(VLOOKUP(F17,Database!F:G,2,0),0)</f>
        <v>2700</v>
      </c>
      <c r="U17" s="90">
        <v>0</v>
      </c>
      <c r="V17" s="75" t="e">
        <f>V13</f>
        <v>#REF!</v>
      </c>
      <c r="W17" s="207" t="e">
        <f>CEILING(R17*T17*V17*U17,10)</f>
        <v>#REF!</v>
      </c>
      <c r="X17" s="90">
        <v>0</v>
      </c>
      <c r="Y17" s="75" t="e">
        <f>Y13</f>
        <v>#REF!</v>
      </c>
      <c r="Z17" s="207" t="e">
        <f t="shared" si="5"/>
        <v>#REF!</v>
      </c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90">
        <v>0.74</v>
      </c>
      <c r="AL17" s="75" t="e">
        <f>AL13</f>
        <v>#REF!</v>
      </c>
      <c r="AM17" s="76" t="e">
        <f t="shared" si="6"/>
        <v>#REF!</v>
      </c>
      <c r="AN17" s="90">
        <v>1</v>
      </c>
      <c r="AO17" s="75">
        <f>AO13</f>
        <v>0.875</v>
      </c>
      <c r="AP17" s="76">
        <f t="shared" si="7"/>
        <v>2180</v>
      </c>
      <c r="AQ17" s="90">
        <v>1</v>
      </c>
      <c r="AR17" s="75">
        <f t="shared" si="8"/>
        <v>0.875</v>
      </c>
      <c r="AS17" s="76">
        <f t="shared" si="9"/>
        <v>2180</v>
      </c>
      <c r="AT17" s="90">
        <v>1</v>
      </c>
      <c r="AU17" s="75">
        <f t="shared" si="10"/>
        <v>0.875</v>
      </c>
      <c r="AV17" s="76">
        <f t="shared" si="11"/>
        <v>2180</v>
      </c>
      <c r="AW17" s="90">
        <v>1</v>
      </c>
      <c r="AX17" s="75">
        <f t="shared" si="12"/>
        <v>0.875</v>
      </c>
      <c r="AY17" s="76">
        <f t="shared" si="13"/>
        <v>2180</v>
      </c>
      <c r="AZ17" s="90">
        <v>1</v>
      </c>
      <c r="BA17" s="75">
        <f t="shared" si="14"/>
        <v>0.875</v>
      </c>
      <c r="BB17" s="76">
        <f t="shared" si="15"/>
        <v>2180</v>
      </c>
      <c r="BC17" s="90">
        <v>1</v>
      </c>
      <c r="BD17" s="75">
        <f t="shared" si="16"/>
        <v>0.875</v>
      </c>
      <c r="BE17" s="76">
        <f t="shared" si="17"/>
        <v>2180</v>
      </c>
      <c r="BF17" s="90">
        <v>3</v>
      </c>
      <c r="BG17" s="75">
        <f t="shared" si="19"/>
        <v>0.82521279158576044</v>
      </c>
      <c r="BH17" s="229">
        <f t="shared" si="18"/>
        <v>6150</v>
      </c>
    </row>
    <row r="18" spans="1:63" s="41" customFormat="1">
      <c r="A18" s="68">
        <v>10</v>
      </c>
      <c r="B18" s="69" t="s">
        <v>228</v>
      </c>
      <c r="C18" s="70" t="s">
        <v>229</v>
      </c>
      <c r="D18" s="70" t="s">
        <v>220</v>
      </c>
      <c r="E18" s="70" t="s">
        <v>220</v>
      </c>
      <c r="F18" s="83" t="s">
        <v>391</v>
      </c>
      <c r="G18" s="70"/>
      <c r="H18" s="62" t="s">
        <v>360</v>
      </c>
      <c r="I18" s="71">
        <v>3</v>
      </c>
      <c r="J18" s="71">
        <v>4</v>
      </c>
      <c r="K18" s="71">
        <v>4</v>
      </c>
      <c r="L18" s="71">
        <v>4</v>
      </c>
      <c r="M18" s="71">
        <v>3</v>
      </c>
      <c r="N18" s="71">
        <v>4</v>
      </c>
      <c r="O18" s="71">
        <v>4</v>
      </c>
      <c r="P18" s="71">
        <v>3</v>
      </c>
      <c r="Q18" s="72">
        <f t="shared" si="1"/>
        <v>3.55</v>
      </c>
      <c r="R18" s="212">
        <f t="shared" si="2"/>
        <v>0.71000000000000008</v>
      </c>
      <c r="S18" s="68" t="str">
        <f t="shared" si="3"/>
        <v>Grade-B</v>
      </c>
      <c r="T18" s="72">
        <f>IFERROR(VLOOKUP(F18,Database!F:G,2,0),0)</f>
        <v>2700</v>
      </c>
      <c r="U18" s="90">
        <v>1</v>
      </c>
      <c r="V18" s="75" t="e">
        <f>V17</f>
        <v>#REF!</v>
      </c>
      <c r="W18" s="208" t="e">
        <f t="shared" ref="W18:W19" si="20">CEILING(R18*T18*V18*U18,10)</f>
        <v>#REF!</v>
      </c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90">
        <v>1</v>
      </c>
      <c r="AI18" s="75">
        <f>AI17</f>
        <v>0</v>
      </c>
      <c r="AJ18" s="208">
        <f t="shared" ref="AJ18:AJ19" si="21">CEILING(AI18*AH18*T18*R18,10)</f>
        <v>0</v>
      </c>
      <c r="AK18" s="90">
        <v>1</v>
      </c>
      <c r="AL18" s="75" t="e">
        <f>AL17</f>
        <v>#REF!</v>
      </c>
      <c r="AM18" s="90" t="e">
        <f t="shared" ref="AM18:AM19" si="22">CEILING($R18*$T18*AL18*AK18,10)</f>
        <v>#REF!</v>
      </c>
      <c r="AN18" s="90">
        <v>1</v>
      </c>
      <c r="AO18" s="75">
        <f t="shared" ref="AO18:AO20" si="23">AO14</f>
        <v>0.875</v>
      </c>
      <c r="AP18" s="76">
        <f t="shared" ref="AP18:AP19" si="24">CEILING($R18*$T18*AO18*AN18,10)</f>
        <v>1680</v>
      </c>
      <c r="AQ18" s="90">
        <v>1</v>
      </c>
      <c r="AR18" s="75">
        <f t="shared" si="8"/>
        <v>0.875</v>
      </c>
      <c r="AS18" s="76">
        <f t="shared" ref="AS18:AS20" si="25">CEILING($R18*$T18*AR18*AQ18,10)</f>
        <v>1680</v>
      </c>
      <c r="AT18" s="90">
        <v>1</v>
      </c>
      <c r="AU18" s="75">
        <f t="shared" si="10"/>
        <v>0.875</v>
      </c>
      <c r="AV18" s="76">
        <f t="shared" ref="AV18:AV21" si="26">CEILING($R18*$T18*AU18*AT18,10)</f>
        <v>1680</v>
      </c>
      <c r="AW18" s="90">
        <v>1</v>
      </c>
      <c r="AX18" s="75">
        <f t="shared" si="12"/>
        <v>0.875</v>
      </c>
      <c r="AY18" s="76">
        <f t="shared" ref="AY18:AY21" si="27">CEILING($R18*$T18*AX18*AW18,10)</f>
        <v>1680</v>
      </c>
      <c r="AZ18" s="90">
        <v>0</v>
      </c>
      <c r="BA18" s="75">
        <f t="shared" si="14"/>
        <v>0.875</v>
      </c>
      <c r="BB18" s="76">
        <f t="shared" ref="BB18:BB21" si="28">CEILING($R18*$T18*BA18*AZ18,10)</f>
        <v>0</v>
      </c>
      <c r="BC18" s="90">
        <v>0.93</v>
      </c>
      <c r="BD18" s="75">
        <f t="shared" si="16"/>
        <v>0.875</v>
      </c>
      <c r="BE18" s="76">
        <f t="shared" ref="BE18:BE21" si="29">CEILING($R18*$T18*BD18*BC18,10)</f>
        <v>1560</v>
      </c>
      <c r="BF18" s="90">
        <v>3</v>
      </c>
      <c r="BG18" s="75">
        <f t="shared" si="19"/>
        <v>0.82521279158576044</v>
      </c>
      <c r="BH18" s="229">
        <f t="shared" ref="BH18:BH28" si="30">CEILING($R18*$T18*BG18*BF18,10)</f>
        <v>4750</v>
      </c>
    </row>
    <row r="19" spans="1:63">
      <c r="A19" s="68">
        <v>11</v>
      </c>
      <c r="B19" s="69">
        <v>26357</v>
      </c>
      <c r="C19" s="70" t="s">
        <v>616</v>
      </c>
      <c r="D19" s="70" t="s">
        <v>443</v>
      </c>
      <c r="E19" s="70" t="s">
        <v>444</v>
      </c>
      <c r="F19" s="83" t="s">
        <v>391</v>
      </c>
      <c r="G19" s="70"/>
      <c r="H19" s="62" t="s">
        <v>360</v>
      </c>
      <c r="I19" s="71">
        <v>3</v>
      </c>
      <c r="J19" s="71">
        <v>3</v>
      </c>
      <c r="K19" s="71">
        <v>5</v>
      </c>
      <c r="L19" s="71">
        <v>4</v>
      </c>
      <c r="M19" s="71">
        <v>5</v>
      </c>
      <c r="N19" s="71">
        <v>5</v>
      </c>
      <c r="O19" s="71">
        <v>5</v>
      </c>
      <c r="P19" s="71">
        <v>5</v>
      </c>
      <c r="Q19" s="72">
        <f t="shared" si="1"/>
        <v>3.9</v>
      </c>
      <c r="R19" s="212">
        <f t="shared" si="2"/>
        <v>0.78000000000000014</v>
      </c>
      <c r="S19" s="68" t="str">
        <f t="shared" si="3"/>
        <v>Grade-B</v>
      </c>
      <c r="T19" s="72">
        <f>IFERROR(VLOOKUP(F19,Database!F:G,2,0),0)</f>
        <v>2700</v>
      </c>
      <c r="U19" s="90">
        <v>0</v>
      </c>
      <c r="V19" s="75" t="e">
        <f>#REF!</f>
        <v>#REF!</v>
      </c>
      <c r="W19" s="208" t="e">
        <f t="shared" si="20"/>
        <v>#REF!</v>
      </c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90">
        <v>0</v>
      </c>
      <c r="AI19" s="75" t="e">
        <f>#REF!</f>
        <v>#REF!</v>
      </c>
      <c r="AJ19" s="208" t="e">
        <f t="shared" si="21"/>
        <v>#REF!</v>
      </c>
      <c r="AK19" s="90">
        <v>0.54</v>
      </c>
      <c r="AL19" s="75" t="e">
        <f>#REF!</f>
        <v>#REF!</v>
      </c>
      <c r="AM19" s="90" t="e">
        <f t="shared" si="22"/>
        <v>#REF!</v>
      </c>
      <c r="AN19" s="90">
        <v>1</v>
      </c>
      <c r="AO19" s="75">
        <f t="shared" si="23"/>
        <v>0.875</v>
      </c>
      <c r="AP19" s="76">
        <f t="shared" si="24"/>
        <v>1850</v>
      </c>
      <c r="AQ19" s="90">
        <v>1</v>
      </c>
      <c r="AR19" s="75">
        <f t="shared" si="8"/>
        <v>0.875</v>
      </c>
      <c r="AS19" s="76">
        <f t="shared" si="25"/>
        <v>1850</v>
      </c>
      <c r="AT19" s="90">
        <v>1</v>
      </c>
      <c r="AU19" s="75">
        <f t="shared" si="10"/>
        <v>0.875</v>
      </c>
      <c r="AV19" s="76">
        <f t="shared" si="26"/>
        <v>1850</v>
      </c>
      <c r="AW19" s="90">
        <v>1</v>
      </c>
      <c r="AX19" s="75">
        <f t="shared" si="12"/>
        <v>0.875</v>
      </c>
      <c r="AY19" s="76">
        <f t="shared" si="27"/>
        <v>1850</v>
      </c>
      <c r="AZ19" s="90">
        <v>1</v>
      </c>
      <c r="BA19" s="75">
        <f t="shared" si="14"/>
        <v>0.875</v>
      </c>
      <c r="BB19" s="76">
        <f t="shared" si="28"/>
        <v>1850</v>
      </c>
      <c r="BC19" s="90">
        <v>1</v>
      </c>
      <c r="BD19" s="75">
        <f t="shared" si="16"/>
        <v>0.875</v>
      </c>
      <c r="BE19" s="76">
        <f t="shared" si="29"/>
        <v>1850</v>
      </c>
      <c r="BF19" s="90">
        <v>3</v>
      </c>
      <c r="BG19" s="75">
        <f t="shared" si="19"/>
        <v>0.82521279158576044</v>
      </c>
      <c r="BH19" s="229">
        <f t="shared" si="30"/>
        <v>5220</v>
      </c>
    </row>
    <row r="20" spans="1:63">
      <c r="A20" s="60">
        <v>12</v>
      </c>
      <c r="B20" s="61">
        <v>8974</v>
      </c>
      <c r="C20" s="62" t="s">
        <v>635</v>
      </c>
      <c r="D20" s="62" t="s">
        <v>442</v>
      </c>
      <c r="E20" s="62"/>
      <c r="F20" s="36" t="s">
        <v>391</v>
      </c>
      <c r="G20" s="62"/>
      <c r="H20" s="62" t="s">
        <v>360</v>
      </c>
      <c r="I20" s="77">
        <v>4</v>
      </c>
      <c r="J20" s="77">
        <v>4</v>
      </c>
      <c r="K20" s="77">
        <v>4</v>
      </c>
      <c r="L20" s="77">
        <v>5</v>
      </c>
      <c r="M20" s="77">
        <v>5</v>
      </c>
      <c r="N20" s="77">
        <v>4</v>
      </c>
      <c r="O20" s="77">
        <v>5</v>
      </c>
      <c r="P20" s="77">
        <v>5</v>
      </c>
      <c r="Q20" s="63">
        <f t="shared" si="1"/>
        <v>4.3</v>
      </c>
      <c r="R20" s="226">
        <f t="shared" si="2"/>
        <v>0.8600000000000001</v>
      </c>
      <c r="S20" s="60" t="str">
        <f t="shared" ref="S20:S22" si="31">IF(B20&lt;&gt;"", IF(Q20=0, "No-Grade",   IF(AND(Q20&gt;=4.5, Q20&lt;=5), "Grade-A",   IF(AND(Q20&gt;=3, Q20&lt;4.5), "Grade-B",   IF(AND(Q20&gt;=2, Q20&lt;3), "Grade-C",   IF(Q20&lt;2, "Grade-D",   "Grade-D"))))), "")</f>
        <v>Grade-B</v>
      </c>
      <c r="T20" s="63">
        <f>IFERROR(VLOOKUP(F20,Database!F:G,2,0),0)</f>
        <v>2700</v>
      </c>
      <c r="U20" s="66">
        <v>1</v>
      </c>
      <c r="V20" s="38">
        <f>V28</f>
        <v>0.8125</v>
      </c>
      <c r="W20" s="227">
        <f t="shared" ref="W20" si="32">CEILING(R20*T20*V20*U20,10)</f>
        <v>1890</v>
      </c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6">
        <v>1</v>
      </c>
      <c r="AI20" s="38">
        <f>AI28</f>
        <v>0</v>
      </c>
      <c r="AJ20" s="227">
        <f t="shared" ref="AJ20" si="33">CEILING(AI20*AH20*T20*R20,10)</f>
        <v>0</v>
      </c>
      <c r="AK20" s="66">
        <v>1.54</v>
      </c>
      <c r="AL20" s="38">
        <f>AL28</f>
        <v>0</v>
      </c>
      <c r="AM20" s="66">
        <f t="shared" ref="AM20" si="34">CEILING($R20*$T20*AL20*AK20,10)</f>
        <v>0</v>
      </c>
      <c r="AN20" s="66">
        <v>1</v>
      </c>
      <c r="AO20" s="38">
        <f t="shared" si="23"/>
        <v>0.875</v>
      </c>
      <c r="AP20" s="67">
        <f t="shared" ref="AP20" si="35">CEILING($R20*$T20*AO20*AN20,10)</f>
        <v>2040</v>
      </c>
      <c r="AQ20" s="66">
        <v>1</v>
      </c>
      <c r="AR20" s="38">
        <f t="shared" si="8"/>
        <v>0.875</v>
      </c>
      <c r="AS20" s="67">
        <f t="shared" si="25"/>
        <v>2040</v>
      </c>
      <c r="AT20" s="66">
        <v>1</v>
      </c>
      <c r="AU20" s="38">
        <f t="shared" si="10"/>
        <v>0.875</v>
      </c>
      <c r="AV20" s="67">
        <f t="shared" si="26"/>
        <v>2040</v>
      </c>
      <c r="AW20" s="66">
        <v>1</v>
      </c>
      <c r="AX20" s="38">
        <f t="shared" si="12"/>
        <v>0.875</v>
      </c>
      <c r="AY20" s="67">
        <f t="shared" si="27"/>
        <v>2040</v>
      </c>
      <c r="AZ20" s="66">
        <v>1</v>
      </c>
      <c r="BA20" s="38">
        <f t="shared" si="14"/>
        <v>0.875</v>
      </c>
      <c r="BB20" s="67">
        <f t="shared" si="28"/>
        <v>2040</v>
      </c>
      <c r="BC20" s="66">
        <v>1</v>
      </c>
      <c r="BD20" s="38">
        <f t="shared" si="16"/>
        <v>0.875</v>
      </c>
      <c r="BE20" s="67">
        <f t="shared" si="29"/>
        <v>2040</v>
      </c>
      <c r="BF20" s="66">
        <v>3</v>
      </c>
      <c r="BG20" s="38">
        <f t="shared" si="19"/>
        <v>0.82521279158576044</v>
      </c>
      <c r="BH20" s="228">
        <f t="shared" si="30"/>
        <v>5750</v>
      </c>
    </row>
    <row r="21" spans="1:63">
      <c r="A21" s="68">
        <v>13</v>
      </c>
      <c r="B21" s="69">
        <v>27226</v>
      </c>
      <c r="C21" s="70" t="s">
        <v>641</v>
      </c>
      <c r="D21" s="70"/>
      <c r="E21" s="70"/>
      <c r="F21" s="83" t="s">
        <v>391</v>
      </c>
      <c r="G21" s="70"/>
      <c r="H21" s="62" t="s">
        <v>770</v>
      </c>
      <c r="I21" s="71">
        <v>4</v>
      </c>
      <c r="J21" s="71">
        <v>3</v>
      </c>
      <c r="K21" s="71">
        <v>3</v>
      </c>
      <c r="L21" s="71">
        <v>4</v>
      </c>
      <c r="M21" s="71">
        <v>5</v>
      </c>
      <c r="N21" s="71">
        <v>4</v>
      </c>
      <c r="O21" s="71">
        <v>5</v>
      </c>
      <c r="P21" s="71">
        <v>5</v>
      </c>
      <c r="Q21" s="215">
        <f t="shared" si="1"/>
        <v>3.9</v>
      </c>
      <c r="R21" s="212">
        <f t="shared" si="2"/>
        <v>0.78</v>
      </c>
      <c r="S21" s="68" t="str">
        <f t="shared" si="31"/>
        <v>Grade-B</v>
      </c>
      <c r="T21" s="72">
        <f>IFERROR(VLOOKUP(F21,Database!F:G,2,0),0)</f>
        <v>2700</v>
      </c>
      <c r="U21" s="216"/>
      <c r="V21" s="217"/>
      <c r="W21" s="218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6"/>
      <c r="AI21" s="217"/>
      <c r="AJ21" s="218"/>
      <c r="AK21" s="216"/>
      <c r="AL21" s="217"/>
      <c r="AM21" s="216"/>
      <c r="AN21" s="216"/>
      <c r="AO21" s="209"/>
      <c r="AP21" s="76"/>
      <c r="AQ21" s="216"/>
      <c r="AR21" s="209"/>
      <c r="AS21" s="76"/>
      <c r="AT21" s="90">
        <v>1</v>
      </c>
      <c r="AU21" s="75">
        <f t="shared" si="10"/>
        <v>0.875</v>
      </c>
      <c r="AV21" s="76">
        <f t="shared" si="26"/>
        <v>1850</v>
      </c>
      <c r="AW21" s="90">
        <v>1</v>
      </c>
      <c r="AX21" s="75">
        <f t="shared" si="12"/>
        <v>0.875</v>
      </c>
      <c r="AY21" s="76">
        <f t="shared" si="27"/>
        <v>1850</v>
      </c>
      <c r="AZ21" s="90">
        <v>1</v>
      </c>
      <c r="BA21" s="75">
        <f t="shared" si="14"/>
        <v>0.875</v>
      </c>
      <c r="BB21" s="76">
        <f t="shared" si="28"/>
        <v>1850</v>
      </c>
      <c r="BC21" s="90">
        <v>0.67</v>
      </c>
      <c r="BD21" s="75">
        <f t="shared" si="16"/>
        <v>0.875</v>
      </c>
      <c r="BE21" s="76">
        <f t="shared" si="29"/>
        <v>1240</v>
      </c>
      <c r="BF21" s="90">
        <v>3</v>
      </c>
      <c r="BG21" s="75">
        <f t="shared" si="19"/>
        <v>0.82521279158576044</v>
      </c>
      <c r="BH21" s="229">
        <f t="shared" si="30"/>
        <v>5220</v>
      </c>
    </row>
    <row r="22" spans="1:63">
      <c r="A22" s="60">
        <v>14</v>
      </c>
      <c r="B22" s="69">
        <v>28307</v>
      </c>
      <c r="C22" s="70" t="s">
        <v>733</v>
      </c>
      <c r="D22" s="70"/>
      <c r="E22" s="70"/>
      <c r="F22" s="83" t="s">
        <v>390</v>
      </c>
      <c r="G22" s="70"/>
      <c r="H22" s="62" t="s">
        <v>753</v>
      </c>
      <c r="I22" s="71">
        <v>4</v>
      </c>
      <c r="J22" s="71">
        <v>4</v>
      </c>
      <c r="K22" s="71">
        <v>4</v>
      </c>
      <c r="L22" s="71">
        <v>4</v>
      </c>
      <c r="M22" s="71">
        <v>4</v>
      </c>
      <c r="N22" s="71">
        <v>5</v>
      </c>
      <c r="O22" s="71">
        <v>5</v>
      </c>
      <c r="P22" s="71">
        <v>5</v>
      </c>
      <c r="Q22" s="215">
        <f t="shared" si="1"/>
        <v>4.1999999999999993</v>
      </c>
      <c r="R22" s="212">
        <f t="shared" si="2"/>
        <v>0.84000000000000008</v>
      </c>
      <c r="S22" s="68" t="str">
        <f t="shared" si="31"/>
        <v>Grade-B</v>
      </c>
      <c r="T22" s="72">
        <f>IFERROR(VLOOKUP(F22,Database!F:G,2,0),0)</f>
        <v>2200</v>
      </c>
      <c r="U22" s="216"/>
      <c r="V22" s="217"/>
      <c r="W22" s="218"/>
      <c r="X22" s="219"/>
      <c r="Y22" s="219"/>
      <c r="Z22" s="219"/>
      <c r="AA22" s="222"/>
      <c r="AB22" s="222"/>
      <c r="AC22" s="222"/>
      <c r="AD22" s="222"/>
      <c r="AE22" s="222"/>
      <c r="AF22" s="222"/>
      <c r="AG22" s="222"/>
      <c r="AH22" s="223"/>
      <c r="AI22" s="224"/>
      <c r="AJ22" s="239"/>
      <c r="AK22" s="216"/>
      <c r="AL22" s="217"/>
      <c r="AM22" s="216"/>
      <c r="AN22" s="216"/>
      <c r="AO22" s="209"/>
      <c r="AP22" s="76"/>
      <c r="AQ22" s="216"/>
      <c r="AR22" s="209"/>
      <c r="AS22" s="76"/>
      <c r="AT22" s="90"/>
      <c r="AU22" s="75"/>
      <c r="AV22" s="76"/>
      <c r="AW22" s="90"/>
      <c r="AX22" s="75"/>
      <c r="AY22" s="76"/>
      <c r="AZ22" s="90"/>
      <c r="BA22" s="75"/>
      <c r="BB22" s="76"/>
      <c r="BC22" s="223"/>
      <c r="BD22" s="224"/>
      <c r="BE22" s="225"/>
      <c r="BF22" s="90">
        <v>2.5</v>
      </c>
      <c r="BG22" s="75">
        <f t="shared" si="19"/>
        <v>0.82521279158576044</v>
      </c>
      <c r="BH22" s="229">
        <f t="shared" ref="BH22" si="36">CEILING($R22*$T22*BG22*BF22,10)</f>
        <v>3820</v>
      </c>
    </row>
    <row r="23" spans="1:63" s="41" customFormat="1">
      <c r="A23" s="68">
        <v>15</v>
      </c>
      <c r="B23" s="68">
        <v>28314</v>
      </c>
      <c r="C23" s="68" t="s">
        <v>706</v>
      </c>
      <c r="D23" s="68"/>
      <c r="E23" s="68"/>
      <c r="F23" s="68" t="s">
        <v>391</v>
      </c>
      <c r="G23" s="68"/>
      <c r="H23" s="62" t="s">
        <v>360</v>
      </c>
      <c r="I23" s="71">
        <v>4</v>
      </c>
      <c r="J23" s="71">
        <v>4</v>
      </c>
      <c r="K23" s="71">
        <v>3</v>
      </c>
      <c r="L23" s="71">
        <v>3</v>
      </c>
      <c r="M23" s="71">
        <v>4</v>
      </c>
      <c r="N23" s="71">
        <v>4</v>
      </c>
      <c r="O23" s="71">
        <v>4</v>
      </c>
      <c r="P23" s="71">
        <v>4</v>
      </c>
      <c r="Q23" s="72">
        <f t="shared" si="1"/>
        <v>3.8</v>
      </c>
      <c r="R23" s="212">
        <f>IF(B23&lt;&gt;"", ((Management!$J$4/5)*I23) + ((Management!$K$4/5)*J23) + ((Management!$L$4/5)*K23) + ((Management!$M$4/5)*L23) + ((Management!$N$4/5)*M23) + ((Management!$O$4/5)*N23) + ((Management!$P$4/5)*O23) + ((Management!$Q$4/5)*P23), "")</f>
        <v>0.76</v>
      </c>
      <c r="S23" s="68" t="str">
        <f t="shared" ref="S23:S27" si="37">IF(B23&lt;&gt;"", IF(Q23=0, "No-Grade",   IF(AND(Q23&gt;=4.5, Q23&lt;=5), "Grade-A",   IF(AND(Q23&gt;=3, Q23&lt;4.5), "Grade-B",   IF(AND(Q23&gt;=2, Q23&lt;3), "Grade-C",   IF(Q23&lt;2, "Grade-D",   "Grade-D"))))), "")</f>
        <v>Grade-B</v>
      </c>
      <c r="T23" s="107">
        <f>IFERROR(VLOOKUP(F23,Database!F:G,2,0),0)</f>
        <v>2700</v>
      </c>
      <c r="U23" s="68"/>
      <c r="V23" s="68"/>
      <c r="W23" s="68"/>
      <c r="X23" s="68"/>
      <c r="Y23" s="68"/>
      <c r="Z23" s="68"/>
      <c r="AA23" s="68"/>
      <c r="AB23" s="68"/>
      <c r="AC23" s="68"/>
      <c r="AD23" s="222"/>
      <c r="AE23" s="222"/>
      <c r="AF23" s="222"/>
      <c r="AG23" s="222"/>
      <c r="AH23" s="222"/>
      <c r="AI23" s="222"/>
      <c r="AJ23" s="222"/>
      <c r="AK23" s="222"/>
      <c r="AL23" s="222"/>
      <c r="AM23" s="222"/>
      <c r="AN23" s="222"/>
      <c r="AO23" s="222"/>
      <c r="AP23" s="222"/>
      <c r="AQ23" s="222"/>
      <c r="AR23" s="222"/>
      <c r="AS23" s="222"/>
      <c r="AT23" s="222"/>
      <c r="AU23" s="222"/>
      <c r="AV23" s="222"/>
      <c r="AW23" s="223"/>
      <c r="AX23" s="224"/>
      <c r="AY23" s="225"/>
      <c r="AZ23" s="223"/>
      <c r="BA23" s="224"/>
      <c r="BB23" s="225"/>
      <c r="BF23" s="90">
        <v>3</v>
      </c>
      <c r="BG23" s="75">
        <f t="shared" si="19"/>
        <v>0.82521279158576044</v>
      </c>
      <c r="BH23" s="229">
        <f t="shared" si="30"/>
        <v>5090</v>
      </c>
    </row>
    <row r="24" spans="1:63" s="41" customFormat="1">
      <c r="A24" s="240">
        <v>16</v>
      </c>
      <c r="B24" s="240">
        <v>28530</v>
      </c>
      <c r="C24" s="240" t="s">
        <v>735</v>
      </c>
      <c r="D24" s="240"/>
      <c r="E24" s="240"/>
      <c r="F24" s="240" t="s">
        <v>391</v>
      </c>
      <c r="G24" s="240"/>
      <c r="H24" s="97" t="s">
        <v>754</v>
      </c>
      <c r="I24" s="98">
        <v>4</v>
      </c>
      <c r="J24" s="98">
        <v>3</v>
      </c>
      <c r="K24" s="98">
        <v>3</v>
      </c>
      <c r="L24" s="98">
        <v>4</v>
      </c>
      <c r="M24" s="98">
        <v>4</v>
      </c>
      <c r="N24" s="98">
        <v>4</v>
      </c>
      <c r="O24" s="98">
        <v>4</v>
      </c>
      <c r="P24" s="98">
        <v>4</v>
      </c>
      <c r="Q24" s="99">
        <f t="shared" si="1"/>
        <v>3.7</v>
      </c>
      <c r="R24" s="336">
        <f>IF(B24&lt;&gt;"", ((Management!$J$4/5)*I24) + ((Management!$K$4/5)*J24) + ((Management!$L$4/5)*K24) + ((Management!$M$4/5)*L24) + ((Management!$N$4/5)*M24) + ((Management!$O$4/5)*N24) + ((Management!$P$4/5)*O24) + ((Management!$Q$4/5)*P24), "")</f>
        <v>0.74</v>
      </c>
      <c r="S24" s="240" t="str">
        <f t="shared" si="37"/>
        <v>Grade-B</v>
      </c>
      <c r="T24" s="337">
        <f>IFERROR(VLOOKUP(F24,Database!F:G,2,0),0)</f>
        <v>2700</v>
      </c>
      <c r="U24" s="240"/>
      <c r="V24" s="240"/>
      <c r="W24" s="240"/>
      <c r="X24" s="240"/>
      <c r="Y24" s="240"/>
      <c r="Z24" s="240"/>
      <c r="AA24" s="240"/>
      <c r="AB24" s="240"/>
      <c r="AC24" s="240"/>
      <c r="AD24" s="338"/>
      <c r="AE24" s="338"/>
      <c r="AF24" s="338"/>
      <c r="AG24" s="338"/>
      <c r="AH24" s="338"/>
      <c r="AI24" s="338"/>
      <c r="AJ24" s="338"/>
      <c r="AK24" s="338"/>
      <c r="AL24" s="338"/>
      <c r="AM24" s="338"/>
      <c r="AN24" s="338"/>
      <c r="AO24" s="338"/>
      <c r="AP24" s="338"/>
      <c r="AQ24" s="338"/>
      <c r="AR24" s="338"/>
      <c r="AS24" s="338"/>
      <c r="AT24" s="338"/>
      <c r="AU24" s="338"/>
      <c r="AV24" s="338"/>
      <c r="AW24" s="339"/>
      <c r="AX24" s="340"/>
      <c r="AY24" s="341"/>
      <c r="AZ24" s="339"/>
      <c r="BA24" s="340"/>
      <c r="BB24" s="341"/>
      <c r="BC24" s="268"/>
      <c r="BD24" s="268"/>
      <c r="BE24" s="268"/>
      <c r="BF24" s="102">
        <v>3</v>
      </c>
      <c r="BG24" s="221">
        <f t="shared" si="19"/>
        <v>0.82521279158576044</v>
      </c>
      <c r="BH24" s="229">
        <f t="shared" si="30"/>
        <v>4950</v>
      </c>
    </row>
    <row r="25" spans="1:63" s="41" customFormat="1">
      <c r="A25" s="68">
        <v>17</v>
      </c>
      <c r="B25" s="68">
        <v>28478</v>
      </c>
      <c r="C25" s="68" t="s">
        <v>716</v>
      </c>
      <c r="D25" s="68"/>
      <c r="E25" s="68"/>
      <c r="F25" s="68" t="s">
        <v>391</v>
      </c>
      <c r="G25" s="68"/>
      <c r="H25" s="62" t="s">
        <v>360</v>
      </c>
      <c r="I25" s="71">
        <v>4</v>
      </c>
      <c r="J25" s="71">
        <v>4</v>
      </c>
      <c r="K25" s="71">
        <v>4</v>
      </c>
      <c r="L25" s="71">
        <v>4</v>
      </c>
      <c r="M25" s="71">
        <v>4</v>
      </c>
      <c r="N25" s="71">
        <v>4</v>
      </c>
      <c r="O25" s="71">
        <v>4</v>
      </c>
      <c r="P25" s="71">
        <v>4</v>
      </c>
      <c r="Q25" s="72">
        <f t="shared" ref="Q25:Q26" si="38">IF(B25&lt;&gt;"", I25*0.3 + J25*0.2 + K25*0.1 + L25*0.1 + M25*0.1 + N25*0.1 + O25*0.05 + P25*0.05, "")</f>
        <v>4</v>
      </c>
      <c r="R25" s="212">
        <f>IF(B25&lt;&gt;"", ((Management!$J$4/5)*I25) + ((Management!$K$4/5)*J25) + ((Management!$L$4/5)*K25) + ((Management!$M$4/5)*L25) + ((Management!$N$4/5)*M25) + ((Management!$O$4/5)*N25) + ((Management!$P$4/5)*O25) + ((Management!$Q$4/5)*P25), "")</f>
        <v>0.8</v>
      </c>
      <c r="S25" s="68" t="str">
        <f t="shared" si="37"/>
        <v>Grade-B</v>
      </c>
      <c r="T25" s="107">
        <f>IFERROR(VLOOKUP(F25,Database!F:G,2,0),0)</f>
        <v>2700</v>
      </c>
      <c r="U25" s="68"/>
      <c r="V25" s="68"/>
      <c r="W25" s="68"/>
      <c r="X25" s="68"/>
      <c r="Y25" s="68"/>
      <c r="Z25" s="68"/>
      <c r="AA25" s="68"/>
      <c r="AB25" s="68"/>
      <c r="AC25" s="68"/>
      <c r="AD25" s="222"/>
      <c r="AE25" s="222"/>
      <c r="AF25" s="222"/>
      <c r="AG25" s="222"/>
      <c r="AH25" s="222"/>
      <c r="AI25" s="222"/>
      <c r="AJ25" s="222"/>
      <c r="AK25" s="222"/>
      <c r="AL25" s="222"/>
      <c r="AM25" s="222"/>
      <c r="AN25" s="222"/>
      <c r="AO25" s="222"/>
      <c r="AP25" s="222"/>
      <c r="AQ25" s="222"/>
      <c r="AR25" s="222"/>
      <c r="AS25" s="222"/>
      <c r="AT25" s="222"/>
      <c r="AU25" s="222"/>
      <c r="AV25" s="222"/>
      <c r="AW25" s="223"/>
      <c r="AX25" s="224"/>
      <c r="AY25" s="225"/>
      <c r="AZ25" s="223"/>
      <c r="BA25" s="224"/>
      <c r="BB25" s="225"/>
      <c r="BF25" s="90">
        <v>3</v>
      </c>
      <c r="BG25" s="75">
        <f t="shared" si="19"/>
        <v>0.82521279158576044</v>
      </c>
      <c r="BH25" s="229">
        <f t="shared" si="30"/>
        <v>5350</v>
      </c>
    </row>
    <row r="26" spans="1:63" s="41" customFormat="1">
      <c r="A26" s="240">
        <v>18</v>
      </c>
      <c r="B26" s="240">
        <v>21407</v>
      </c>
      <c r="C26" s="240" t="s">
        <v>713</v>
      </c>
      <c r="D26" s="240"/>
      <c r="E26" s="240"/>
      <c r="F26" s="240"/>
      <c r="G26" s="240"/>
      <c r="H26" s="97" t="s">
        <v>737</v>
      </c>
      <c r="I26" s="98"/>
      <c r="J26" s="98"/>
      <c r="K26" s="98"/>
      <c r="L26" s="98"/>
      <c r="M26" s="98"/>
      <c r="N26" s="98"/>
      <c r="O26" s="98"/>
      <c r="P26" s="98"/>
      <c r="Q26" s="99">
        <f t="shared" si="38"/>
        <v>0</v>
      </c>
      <c r="R26" s="336">
        <f>IF(B26&lt;&gt;"", ((Management!$J$4/5)*I26) + ((Management!$K$4/5)*J26) + ((Management!$L$4/5)*K26) + ((Management!$M$4/5)*L26) + ((Management!$N$4/5)*M26) + ((Management!$O$4/5)*N26) + ((Management!$P$4/5)*O26) + ((Management!$Q$4/5)*P26), "")</f>
        <v>0</v>
      </c>
      <c r="S26" s="240" t="str">
        <f t="shared" ref="S26" si="39">IF(B26&lt;&gt;"", IF(Q26=0, "No-Grade",   IF(AND(Q26&gt;=4.5, Q26&lt;=5), "Grade-A",   IF(AND(Q26&gt;=3, Q26&lt;4.5), "Grade-B",   IF(AND(Q26&gt;=2, Q26&lt;3), "Grade-C",   IF(Q26&lt;2, "Grade-D",   "Grade-D"))))), "")</f>
        <v>No-Grade</v>
      </c>
      <c r="T26" s="337">
        <f>IFERROR(VLOOKUP(F26,Database!F:G,2,0),0)</f>
        <v>0</v>
      </c>
      <c r="U26" s="240"/>
      <c r="V26" s="240"/>
      <c r="W26" s="240"/>
      <c r="X26" s="240"/>
      <c r="Y26" s="240"/>
      <c r="Z26" s="240"/>
      <c r="AA26" s="240"/>
      <c r="AB26" s="240"/>
      <c r="AC26" s="240"/>
      <c r="AD26" s="338"/>
      <c r="AE26" s="338"/>
      <c r="AF26" s="338"/>
      <c r="AG26" s="338"/>
      <c r="AH26" s="338"/>
      <c r="AI26" s="338"/>
      <c r="AJ26" s="338"/>
      <c r="AK26" s="338"/>
      <c r="AL26" s="338"/>
      <c r="AM26" s="338"/>
      <c r="AN26" s="338"/>
      <c r="AO26" s="338"/>
      <c r="AP26" s="338"/>
      <c r="AQ26" s="338"/>
      <c r="AR26" s="338"/>
      <c r="AS26" s="338"/>
      <c r="AT26" s="338"/>
      <c r="AU26" s="338"/>
      <c r="AV26" s="338"/>
      <c r="AW26" s="339"/>
      <c r="AX26" s="340"/>
      <c r="AY26" s="341"/>
      <c r="AZ26" s="339"/>
      <c r="BA26" s="340"/>
      <c r="BB26" s="341"/>
      <c r="BC26" s="268"/>
      <c r="BD26" s="268"/>
      <c r="BE26" s="268"/>
      <c r="BF26" s="102">
        <v>0</v>
      </c>
      <c r="BG26" s="221">
        <f t="shared" si="19"/>
        <v>0.82521279158576044</v>
      </c>
      <c r="BH26" s="229">
        <f t="shared" ref="BH26" si="40">CEILING($R26*$T26*BG26*BF26,10)</f>
        <v>0</v>
      </c>
    </row>
    <row r="27" spans="1:63" s="41" customFormat="1">
      <c r="A27" s="68">
        <v>19</v>
      </c>
      <c r="B27" s="68">
        <v>2355</v>
      </c>
      <c r="C27" s="68" t="s">
        <v>790</v>
      </c>
      <c r="D27" s="68"/>
      <c r="E27" s="68"/>
      <c r="F27" s="68" t="s">
        <v>391</v>
      </c>
      <c r="G27" s="68"/>
      <c r="H27" s="70"/>
      <c r="I27" s="71">
        <v>2</v>
      </c>
      <c r="J27" s="71">
        <v>3</v>
      </c>
      <c r="K27" s="71">
        <v>3</v>
      </c>
      <c r="L27" s="71">
        <v>3</v>
      </c>
      <c r="M27" s="71">
        <v>2</v>
      </c>
      <c r="N27" s="71">
        <v>4</v>
      </c>
      <c r="O27" s="71">
        <v>4</v>
      </c>
      <c r="P27" s="71">
        <v>4</v>
      </c>
      <c r="Q27" s="72">
        <f t="shared" ref="Q27" si="41">IF(B27&lt;&gt;"", I27*0.3 + J27*0.2 + K27*0.1 + L27*0.1 + M27*0.1 + N27*0.1 + O27*0.05 + P27*0.05, "")</f>
        <v>2.8000000000000007</v>
      </c>
      <c r="R27" s="212">
        <f>IF(B27&lt;&gt;"", ((Management!$J$4/5)*I27) + ((Management!$K$4/5)*J27) + ((Management!$L$4/5)*K27) + ((Management!$M$4/5)*L27) + ((Management!$N$4/5)*M27) + ((Management!$O$4/5)*N27) + ((Management!$P$4/5)*O27) + ((Management!$Q$4/5)*P27), "")</f>
        <v>0.56000000000000005</v>
      </c>
      <c r="S27" s="68" t="str">
        <f t="shared" si="37"/>
        <v>Grade-C</v>
      </c>
      <c r="T27" s="107">
        <f>IFERROR(VLOOKUP(F27,Database!F:G,2,0),0)</f>
        <v>2700</v>
      </c>
      <c r="U27" s="68"/>
      <c r="V27" s="68"/>
      <c r="W27" s="68"/>
      <c r="X27" s="68"/>
      <c r="Y27" s="68"/>
      <c r="Z27" s="68"/>
      <c r="AA27" s="68"/>
      <c r="AB27" s="68"/>
      <c r="AC27" s="68"/>
      <c r="AD27" s="222"/>
      <c r="AE27" s="222"/>
      <c r="AF27" s="222"/>
      <c r="AG27" s="222"/>
      <c r="AH27" s="222"/>
      <c r="AI27" s="222"/>
      <c r="AJ27" s="222"/>
      <c r="AK27" s="222"/>
      <c r="AL27" s="222"/>
      <c r="AM27" s="222"/>
      <c r="AN27" s="222"/>
      <c r="AO27" s="222"/>
      <c r="AP27" s="222"/>
      <c r="AQ27" s="222"/>
      <c r="AR27" s="222"/>
      <c r="AS27" s="222"/>
      <c r="AT27" s="222"/>
      <c r="AU27" s="222"/>
      <c r="AV27" s="222"/>
      <c r="AW27" s="223"/>
      <c r="AX27" s="224"/>
      <c r="AY27" s="225"/>
      <c r="AZ27" s="223"/>
      <c r="BA27" s="224"/>
      <c r="BB27" s="225"/>
      <c r="BF27" s="90">
        <v>3</v>
      </c>
      <c r="BG27" s="75">
        <f t="shared" si="19"/>
        <v>0.82521279158576044</v>
      </c>
      <c r="BH27" s="229">
        <f t="shared" si="30"/>
        <v>3750</v>
      </c>
    </row>
    <row r="28" spans="1:63" s="78" customFormat="1">
      <c r="A28" s="68">
        <v>20</v>
      </c>
      <c r="B28" s="68">
        <v>2198</v>
      </c>
      <c r="C28" s="68" t="s">
        <v>677</v>
      </c>
      <c r="D28" s="68"/>
      <c r="E28" s="68"/>
      <c r="F28" s="83" t="s">
        <v>391</v>
      </c>
      <c r="G28" s="68"/>
      <c r="H28" s="70" t="s">
        <v>360</v>
      </c>
      <c r="I28" s="71">
        <v>4</v>
      </c>
      <c r="J28" s="71">
        <v>4</v>
      </c>
      <c r="K28" s="71">
        <v>4</v>
      </c>
      <c r="L28" s="71">
        <v>4</v>
      </c>
      <c r="M28" s="71">
        <v>5</v>
      </c>
      <c r="N28" s="71">
        <v>5</v>
      </c>
      <c r="O28" s="71">
        <v>5</v>
      </c>
      <c r="P28" s="71">
        <v>5</v>
      </c>
      <c r="Q28" s="72">
        <f t="shared" si="1"/>
        <v>4.3</v>
      </c>
      <c r="R28" s="212">
        <f>IF(B28&lt;&gt;"", ((Management!$J$4/5)*I28) + ((Management!$K$4/5)*J28) + ((Management!$L$4/5)*K28) + ((Management!$M$4/5)*L28) + ((Management!$N$4/5)*M28) + ((Management!$O$4/5)*N28) + ((Management!$P$4/5)*O28) + ((Management!$Q$4/5)*P28), "")</f>
        <v>0.8600000000000001</v>
      </c>
      <c r="S28" s="68" t="str">
        <f t="shared" ref="S28:S29" si="42">IF(B28&lt;&gt;"", IF(Q28=0, "No-Grade",   IF(AND(Q28&gt;=4.5, Q28&lt;=5), "Grade-A",   IF(AND(Q28&gt;=3, Q28&lt;4.5), "Grade-B",   IF(AND(Q28&gt;=2, Q28&lt;3), "Grade-C",   IF(Q28&lt;2, "Grade-D",   "Grade-D"))))), "")</f>
        <v>Grade-B</v>
      </c>
      <c r="T28" s="107">
        <f>IFERROR(VLOOKUP(F28,Database!F:G,2,0),0)</f>
        <v>2700</v>
      </c>
      <c r="U28" s="90">
        <v>0.55000000000000004</v>
      </c>
      <c r="V28" s="75">
        <f t="shared" ref="V28:V30" si="43">$W$6/$V$6</f>
        <v>0.8125</v>
      </c>
      <c r="W28" s="76">
        <f t="shared" ref="W28" si="44">CEILING($R28*$T28*U28*V28,10)</f>
        <v>1040</v>
      </c>
      <c r="X28" s="90">
        <v>0.32</v>
      </c>
      <c r="Y28" s="75">
        <f t="shared" ref="Y28:Y30" si="45">$W$6/$V$6</f>
        <v>0.8125</v>
      </c>
      <c r="Z28" s="76">
        <f t="shared" ref="Z28" si="46">CEILING($R28*$T28*X28*Y28,10)</f>
        <v>610</v>
      </c>
      <c r="AA28" s="90">
        <v>1</v>
      </c>
      <c r="AB28" s="75">
        <f t="shared" ref="AB28:AB30" si="47">$W$6/$V$6</f>
        <v>0.8125</v>
      </c>
      <c r="AC28" s="76">
        <f t="shared" ref="AC28" si="48">CEILING($R28*$T28*AA28*AB28,10)</f>
        <v>1890</v>
      </c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90">
        <v>3</v>
      </c>
      <c r="BG28" s="75">
        <f t="shared" si="19"/>
        <v>0.82521279158576044</v>
      </c>
      <c r="BH28" s="229">
        <f t="shared" si="30"/>
        <v>5750</v>
      </c>
      <c r="BI28" s="42"/>
      <c r="BJ28" s="42"/>
      <c r="BK28" s="42"/>
    </row>
    <row r="29" spans="1:63" s="78" customFormat="1" hidden="1">
      <c r="A29" s="68">
        <v>19</v>
      </c>
      <c r="B29" s="68"/>
      <c r="C29" s="68" t="s">
        <v>716</v>
      </c>
      <c r="D29" s="222"/>
      <c r="E29" s="222"/>
      <c r="F29" s="83"/>
      <c r="G29" s="68"/>
      <c r="H29" s="70" t="s">
        <v>717</v>
      </c>
      <c r="I29" s="71"/>
      <c r="J29" s="71"/>
      <c r="K29" s="71"/>
      <c r="L29" s="71"/>
      <c r="M29" s="71"/>
      <c r="N29" s="71"/>
      <c r="O29" s="71"/>
      <c r="P29" s="71"/>
      <c r="Q29" s="72" t="str">
        <f t="shared" si="1"/>
        <v/>
      </c>
      <c r="R29" s="212" t="str">
        <f>IF(B29&lt;&gt;"", ((Management!$J$4/5)*I29) + ((Management!$K$4/5)*J29) + ((Management!$L$4/5)*K29) + ((Management!$M$4/5)*L29) + ((Management!$N$4/5)*M29) + ((Management!$O$4/5)*N29) + ((Management!$P$4/5)*O29) + ((Management!$Q$4/5)*P29), "")</f>
        <v/>
      </c>
      <c r="S29" s="68" t="str">
        <f t="shared" si="42"/>
        <v/>
      </c>
      <c r="T29" s="107">
        <f>IFERROR(VLOOKUP(F29,Database!F:G,2,0),0)</f>
        <v>0</v>
      </c>
      <c r="U29" s="90"/>
      <c r="V29" s="75"/>
      <c r="W29" s="76"/>
      <c r="X29" s="90"/>
      <c r="Y29" s="75"/>
      <c r="Z29" s="76"/>
      <c r="AA29" s="90"/>
      <c r="AB29" s="75"/>
      <c r="AC29" s="76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90">
        <v>0.35</v>
      </c>
      <c r="BG29" s="75">
        <f t="shared" si="19"/>
        <v>0.82521279158576044</v>
      </c>
      <c r="BH29" s="229"/>
      <c r="BI29" s="42"/>
      <c r="BJ29" s="42"/>
      <c r="BK29" s="42"/>
    </row>
    <row r="30" spans="1:63" s="78" customFormat="1" hidden="1">
      <c r="A30" s="68">
        <f t="shared" si="0"/>
        <v>23</v>
      </c>
      <c r="B30" s="68">
        <v>21407</v>
      </c>
      <c r="C30" s="68" t="s">
        <v>713</v>
      </c>
      <c r="D30" s="222"/>
      <c r="E30" s="222"/>
      <c r="F30" s="83"/>
      <c r="G30" s="68"/>
      <c r="H30" s="70" t="s">
        <v>724</v>
      </c>
      <c r="I30" s="71"/>
      <c r="J30" s="71"/>
      <c r="K30" s="71"/>
      <c r="L30" s="71"/>
      <c r="M30" s="71"/>
      <c r="N30" s="71"/>
      <c r="O30" s="71"/>
      <c r="P30" s="71"/>
      <c r="Q30" s="72">
        <f t="shared" ref="Q30" si="49">IF(B30&lt;&gt;"", I30*0.3 + J30*0.2 + K30*0.1 + L30*0.1 + M30*0.1 + N30*0.1 + O30*0.05 + P30*0.05, "")</f>
        <v>0</v>
      </c>
      <c r="R30" s="212">
        <f>IF(B30&lt;&gt;"", ((Management!$J$4/5)*I30) + ((Management!$K$4/5)*J30) + ((Management!$L$4/5)*K30) + ((Management!$M$4/5)*L30) + ((Management!$N$4/5)*M30) + ((Management!$O$4/5)*N30) + ((Management!$P$4/5)*O30) + ((Management!$Q$4/5)*P30), "")</f>
        <v>0</v>
      </c>
      <c r="S30" s="68" t="str">
        <f t="shared" ref="S30" si="50">IF(B30&lt;&gt;"", IF(Q30=0, "No-Grade",   IF(AND(Q30&gt;=4.5, Q30&lt;=5), "Grade-A",   IF(AND(Q30&gt;=3, Q30&lt;4.5), "Grade-B",   IF(AND(Q30&gt;=2, Q30&lt;3), "Grade-C",   IF(Q30&lt;2, "Grade-D",   "Grade-D"))))), "")</f>
        <v>No-Grade</v>
      </c>
      <c r="T30" s="107">
        <f>IFERROR(VLOOKUP(F30,Database!F:G,2,0),0)</f>
        <v>0</v>
      </c>
      <c r="U30" s="90">
        <v>0.55000000000000004</v>
      </c>
      <c r="V30" s="75">
        <f t="shared" si="43"/>
        <v>0.8125</v>
      </c>
      <c r="W30" s="76">
        <f t="shared" ref="W30" si="51">CEILING($R30*$T30*U30*V30,10)</f>
        <v>0</v>
      </c>
      <c r="X30" s="90">
        <v>0.32</v>
      </c>
      <c r="Y30" s="75">
        <f t="shared" si="45"/>
        <v>0.8125</v>
      </c>
      <c r="Z30" s="76">
        <f t="shared" ref="Z30" si="52">CEILING($R30*$T30*X30*Y30,10)</f>
        <v>0</v>
      </c>
      <c r="AA30" s="90">
        <v>1</v>
      </c>
      <c r="AB30" s="75">
        <f t="shared" si="47"/>
        <v>0.8125</v>
      </c>
      <c r="AC30" s="76">
        <f t="shared" ref="AC30" si="53">CEILING($R30*$T30*AA30*AB30,10)</f>
        <v>0</v>
      </c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90">
        <v>1.27</v>
      </c>
      <c r="BG30" s="75">
        <f t="shared" si="19"/>
        <v>0.82521279158576044</v>
      </c>
      <c r="BH30" s="229">
        <f t="shared" ref="BH30" si="54">CEILING($R30*$T30*BG30*BF30,10)</f>
        <v>0</v>
      </c>
      <c r="BI30" s="42"/>
      <c r="BJ30" s="42"/>
      <c r="BK30" s="42"/>
    </row>
    <row r="31" spans="1:63">
      <c r="E31" s="42"/>
      <c r="F31" s="42"/>
      <c r="G31" s="42"/>
      <c r="H31" s="42"/>
      <c r="I31" s="109"/>
      <c r="J31" s="109"/>
      <c r="K31" s="109"/>
      <c r="L31" s="109"/>
      <c r="M31" s="109"/>
      <c r="N31" s="109"/>
      <c r="O31" s="109"/>
      <c r="P31" s="109"/>
      <c r="T31" s="111">
        <f>SUM(T8:T30)*3</f>
        <v>157500</v>
      </c>
      <c r="W31" s="42" t="s">
        <v>433</v>
      </c>
      <c r="Z31" s="42" t="s">
        <v>433</v>
      </c>
      <c r="AM31" s="210"/>
      <c r="BH31" s="111">
        <f>SUM(BH8:BH30)</f>
        <v>96120</v>
      </c>
    </row>
    <row r="32" spans="1:63">
      <c r="W32" s="42" t="s">
        <v>434</v>
      </c>
      <c r="Z32" s="42" t="s">
        <v>434</v>
      </c>
    </row>
  </sheetData>
  <mergeCells count="6">
    <mergeCell ref="A1:S1"/>
    <mergeCell ref="C2:I2"/>
    <mergeCell ref="C3:I3"/>
    <mergeCell ref="J3:K4"/>
    <mergeCell ref="L3:M4"/>
    <mergeCell ref="C4:I4"/>
  </mergeCells>
  <phoneticPr fontId="3" type="noConversion"/>
  <dataValidations count="5">
    <dataValidation allowBlank="1" showInputMessage="1" showErrorMessage="1" prompt="Represents the highest level of performance. Outstanding and exceptional achievements." sqref="I6"/>
    <dataValidation allowBlank="1" showInputMessage="1" showErrorMessage="1" prompt="Strong performance with positive results. Shows commitment and excellence." sqref="J6"/>
    <dataValidation allowBlank="1" showInputMessage="1" showErrorMessage="1" prompt="Acceptable performance with satisfactory results. Some aspects can be improved." sqref="K6"/>
    <dataValidation allowBlank="1" showInputMessage="1" showErrorMessage="1" prompt="Performance below expectations. Needs development and significant improvements." sqref="L6"/>
    <dataValidation allowBlank="1" showInputMessage="1" showErrorMessage="1" prompt="The lowest level of performance. Requires drastic changes for improvement." sqref="M6"/>
  </dataValidations>
  <printOptions horizontalCentered="1"/>
  <pageMargins left="0" right="0" top="0.74803149606299213" bottom="0.74803149606299213" header="0.31496062992125984" footer="0.31496062992125984"/>
  <pageSetup scale="6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Database!$F$2:$F$47</xm:f>
          </x14:formula1>
          <xm:sqref>F8:F30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1440A8-2FB0-4981-A1FD-415BA8B7E2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Database</vt:lpstr>
      <vt:lpstr>Management</vt:lpstr>
      <vt:lpstr>Production</vt:lpstr>
      <vt:lpstr>Technical</vt:lpstr>
      <vt:lpstr>Hollowcore</vt:lpstr>
      <vt:lpstr>QC</vt:lpstr>
      <vt:lpstr>Maintenance</vt:lpstr>
      <vt:lpstr>Installation</vt:lpstr>
      <vt:lpstr>SCM</vt:lpstr>
      <vt:lpstr>Inc. Tracking</vt:lpstr>
      <vt:lpstr>Engs</vt:lpstr>
      <vt:lpstr>Engs!Print_Area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banylaith</dc:creator>
  <cp:lastModifiedBy>maq47</cp:lastModifiedBy>
  <cp:lastPrinted>2026-04-21T12:44:34Z</cp:lastPrinted>
  <dcterms:created xsi:type="dcterms:W3CDTF">2024-10-27T17:50:46Z</dcterms:created>
  <dcterms:modified xsi:type="dcterms:W3CDTF">2026-07-06T06:17:27Z</dcterms:modified>
</cp:coreProperties>
</file>